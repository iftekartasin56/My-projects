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WIN16168\WINDVSW1\UserDirs\0005815KOE0000000001\Desktop\"/>
    </mc:Choice>
  </mc:AlternateContent>
  <xr:revisionPtr revIDLastSave="0" documentId="8_{C0B987C1-D930-4292-8811-361FB5108D91}" xr6:coauthVersionLast="47" xr6:coauthVersionMax="47" xr10:uidLastSave="{00000000-0000-0000-0000-000000000000}"/>
  <bookViews>
    <workbookView xWindow="-120" yWindow="-120" windowWidth="29040" windowHeight="15840" xr2:uid="{55906394-B05C-4B2D-8582-0BD326DAB27D}"/>
  </bookViews>
  <sheets>
    <sheet name="Rechner Bilanz" sheetId="7" r:id="rId1"/>
    <sheet name="Fibu Staffel Allgemein" sheetId="3" r:id="rId2"/>
    <sheet name="Tabelle A (Steuererklärungen)" sheetId="5" r:id="rId3"/>
    <sheet name="Tabelle B (JA &amp; EÜR)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7" l="1"/>
  <c r="B43" i="7"/>
  <c r="F43" i="7" s="1"/>
  <c r="C37" i="7"/>
  <c r="C10" i="7"/>
  <c r="C33" i="7"/>
  <c r="B3" i="3"/>
  <c r="E4" i="3"/>
  <c r="E3" i="3"/>
  <c r="E2" i="3"/>
  <c r="E5" i="3"/>
  <c r="A3" i="3" l="1"/>
  <c r="B4" i="3"/>
  <c r="A5" i="3" s="1"/>
  <c r="A4" i="3"/>
  <c r="E2" i="4" l="1"/>
  <c r="E5" i="4" s="1"/>
  <c r="D2" i="5"/>
  <c r="F15" i="7"/>
  <c r="F2" i="5"/>
  <c r="E2" i="5"/>
  <c r="D2" i="4"/>
  <c r="J18" i="7"/>
  <c r="J17" i="7"/>
  <c r="J16" i="7"/>
  <c r="G2" i="5" s="1"/>
  <c r="J15" i="7"/>
  <c r="F16" i="7"/>
  <c r="E19" i="4" l="1"/>
  <c r="E11" i="4"/>
  <c r="E4" i="4"/>
  <c r="E12" i="4"/>
  <c r="E20" i="4"/>
  <c r="E18" i="4"/>
  <c r="E3" i="4"/>
  <c r="E10" i="4"/>
  <c r="E17" i="4"/>
  <c r="E9" i="4"/>
  <c r="E8" i="4"/>
  <c r="E16" i="4"/>
  <c r="E23" i="4"/>
  <c r="E15" i="4"/>
  <c r="E7" i="4"/>
  <c r="E24" i="4"/>
  <c r="E22" i="4"/>
  <c r="E14" i="4"/>
  <c r="E6" i="4"/>
  <c r="E21" i="4"/>
  <c r="E13" i="4"/>
  <c r="F14" i="7"/>
  <c r="J14" i="7" s="1"/>
  <c r="C5" i="7"/>
  <c r="E25" i="4" l="1"/>
  <c r="E27" i="4" l="1"/>
  <c r="E26" i="4"/>
  <c r="D3" i="5"/>
  <c r="C6" i="3" l="1"/>
  <c r="E6" i="3" s="1"/>
  <c r="C7" i="3" l="1"/>
  <c r="C8" i="3" l="1"/>
  <c r="E7" i="3"/>
  <c r="E3" i="5"/>
  <c r="C44" i="7" s="1"/>
  <c r="E28" i="4"/>
  <c r="E30" i="4"/>
  <c r="E29" i="4"/>
  <c r="E34" i="4"/>
  <c r="E33" i="4"/>
  <c r="E32" i="4"/>
  <c r="E31" i="4"/>
  <c r="E36" i="4"/>
  <c r="E35" i="4"/>
  <c r="E8" i="3" l="1"/>
  <c r="C9" i="3"/>
  <c r="I52" i="4"/>
  <c r="H25" i="4"/>
  <c r="G26" i="4" s="1"/>
  <c r="G25" i="4"/>
  <c r="H19" i="4"/>
  <c r="G20" i="4" s="1"/>
  <c r="G19" i="4"/>
  <c r="G18" i="4"/>
  <c r="H15" i="4"/>
  <c r="H16" i="4" s="1"/>
  <c r="G17" i="4" s="1"/>
  <c r="G15" i="4"/>
  <c r="G14" i="4"/>
  <c r="H11" i="4"/>
  <c r="G12" i="4" s="1"/>
  <c r="G11" i="4"/>
  <c r="G10" i="4"/>
  <c r="G9" i="4"/>
  <c r="G8" i="4"/>
  <c r="H4" i="4"/>
  <c r="G5" i="4" s="1"/>
  <c r="G4" i="4"/>
  <c r="D3" i="4"/>
  <c r="C14" i="7" s="1"/>
  <c r="I53" i="4" l="1"/>
  <c r="I54" i="4" s="1"/>
  <c r="H5" i="4"/>
  <c r="H6" i="4" s="1"/>
  <c r="G7" i="4" s="1"/>
  <c r="H26" i="4"/>
  <c r="H27" i="4" s="1"/>
  <c r="H28" i="4" s="1"/>
  <c r="H12" i="4"/>
  <c r="G13" i="4" s="1"/>
  <c r="E9" i="3"/>
  <c r="C10" i="3"/>
  <c r="H20" i="4"/>
  <c r="G16" i="4"/>
  <c r="G27" i="4" l="1"/>
  <c r="I55" i="4"/>
  <c r="G28" i="4"/>
  <c r="G6" i="4"/>
  <c r="E10" i="3"/>
  <c r="C11" i="3"/>
  <c r="G21" i="4"/>
  <c r="H21" i="4"/>
  <c r="I56" i="4"/>
  <c r="H29" i="4"/>
  <c r="G29" i="4"/>
  <c r="C12" i="3" l="1"/>
  <c r="E11" i="3"/>
  <c r="H30" i="4"/>
  <c r="G30" i="4"/>
  <c r="I57" i="4"/>
  <c r="G22" i="4"/>
  <c r="H22" i="4"/>
  <c r="C13" i="3" l="1"/>
  <c r="E12" i="3"/>
  <c r="I58" i="4"/>
  <c r="G23" i="4"/>
  <c r="H23" i="4"/>
  <c r="G24" i="4" s="1"/>
  <c r="H31" i="4"/>
  <c r="G31" i="4"/>
  <c r="C14" i="3" l="1"/>
  <c r="E13" i="3"/>
  <c r="A6" i="3"/>
  <c r="B6" i="3"/>
  <c r="I59" i="4"/>
  <c r="G32" i="4"/>
  <c r="H32" i="4"/>
  <c r="A7" i="3" l="1"/>
  <c r="B7" i="3"/>
  <c r="E14" i="3"/>
  <c r="C15" i="3"/>
  <c r="I60" i="4"/>
  <c r="H33" i="4"/>
  <c r="G33" i="4"/>
  <c r="C16" i="3" l="1"/>
  <c r="E15" i="3"/>
  <c r="B8" i="3"/>
  <c r="A8" i="3"/>
  <c r="I61" i="4"/>
  <c r="H34" i="4"/>
  <c r="G34" i="4"/>
  <c r="A9" i="3" l="1"/>
  <c r="B9" i="3"/>
  <c r="C17" i="3"/>
  <c r="E16" i="3"/>
  <c r="I62" i="4"/>
  <c r="H35" i="4"/>
  <c r="G35" i="4"/>
  <c r="C18" i="3" l="1"/>
  <c r="E17" i="3"/>
  <c r="A10" i="3"/>
  <c r="B10" i="3"/>
  <c r="I63" i="4"/>
  <c r="H36" i="4"/>
  <c r="G36" i="4"/>
  <c r="A11" i="3" l="1"/>
  <c r="B11" i="3"/>
  <c r="E18" i="3"/>
  <c r="C19" i="3"/>
  <c r="I64" i="4"/>
  <c r="H37" i="4"/>
  <c r="G37" i="4"/>
  <c r="C20" i="3" l="1"/>
  <c r="E19" i="3"/>
  <c r="A12" i="3"/>
  <c r="B12" i="3"/>
  <c r="I65" i="4"/>
  <c r="G38" i="4"/>
  <c r="H38" i="4"/>
  <c r="C21" i="3" l="1"/>
  <c r="E20" i="3"/>
  <c r="B13" i="3"/>
  <c r="A13" i="3"/>
  <c r="H39" i="4"/>
  <c r="G39" i="4"/>
  <c r="I66" i="4"/>
  <c r="A14" i="3" l="1"/>
  <c r="B14" i="3"/>
  <c r="C22" i="3"/>
  <c r="E21" i="3"/>
  <c r="I67" i="4"/>
  <c r="H40" i="4"/>
  <c r="G40" i="4"/>
  <c r="C23" i="3" l="1"/>
  <c r="E22" i="3"/>
  <c r="A15" i="3"/>
  <c r="B15" i="3"/>
  <c r="H41" i="4"/>
  <c r="G41" i="4"/>
  <c r="A16" i="3" l="1"/>
  <c r="B16" i="3"/>
  <c r="E23" i="3"/>
  <c r="C24" i="3"/>
  <c r="G42" i="4"/>
  <c r="H42" i="4"/>
  <c r="C25" i="3" l="1"/>
  <c r="E24" i="3"/>
  <c r="B17" i="3"/>
  <c r="A17" i="3"/>
  <c r="H43" i="4"/>
  <c r="G43" i="4"/>
  <c r="A18" i="3" l="1"/>
  <c r="B18" i="3"/>
  <c r="E25" i="3"/>
  <c r="C26" i="3"/>
  <c r="G44" i="4"/>
  <c r="H44" i="4"/>
  <c r="A19" i="3" l="1"/>
  <c r="B19" i="3"/>
  <c r="C27" i="3"/>
  <c r="E26" i="3"/>
  <c r="H45" i="4"/>
  <c r="G45" i="4"/>
  <c r="E27" i="3" l="1"/>
  <c r="C28" i="3"/>
  <c r="A20" i="3"/>
  <c r="B20" i="3"/>
  <c r="H46" i="4"/>
  <c r="G46" i="4"/>
  <c r="B21" i="3" l="1"/>
  <c r="A21" i="3"/>
  <c r="C29" i="3"/>
  <c r="E28" i="3"/>
  <c r="H47" i="4"/>
  <c r="G47" i="4"/>
  <c r="E29" i="3" l="1"/>
  <c r="C30" i="3"/>
  <c r="A22" i="3"/>
  <c r="B22" i="3"/>
  <c r="G48" i="4"/>
  <c r="H48" i="4"/>
  <c r="C31" i="3" l="1"/>
  <c r="E30" i="3"/>
  <c r="B23" i="3"/>
  <c r="A23" i="3"/>
  <c r="H49" i="4"/>
  <c r="G49" i="4"/>
  <c r="E31" i="3" l="1"/>
  <c r="C32" i="3"/>
  <c r="A24" i="3"/>
  <c r="B24" i="3"/>
  <c r="G50" i="4"/>
  <c r="H50" i="4"/>
  <c r="A25" i="3" l="1"/>
  <c r="B25" i="3"/>
  <c r="C33" i="3"/>
  <c r="E32" i="3"/>
  <c r="H51" i="4"/>
  <c r="G51" i="4"/>
  <c r="E33" i="3" l="1"/>
  <c r="C34" i="3"/>
  <c r="A26" i="3"/>
  <c r="B26" i="3"/>
  <c r="H52" i="4"/>
  <c r="G52" i="4"/>
  <c r="B27" i="3" l="1"/>
  <c r="A27" i="3"/>
  <c r="C35" i="3"/>
  <c r="E34" i="3"/>
  <c r="G53" i="4"/>
  <c r="H53" i="4"/>
  <c r="A28" i="3" l="1"/>
  <c r="B28" i="3"/>
  <c r="E35" i="3"/>
  <c r="C36" i="3"/>
  <c r="H54" i="4"/>
  <c r="G54" i="4"/>
  <c r="C37" i="3" l="1"/>
  <c r="E36" i="3"/>
  <c r="A29" i="3"/>
  <c r="B29" i="3"/>
  <c r="H55" i="4"/>
  <c r="G55" i="4"/>
  <c r="E37" i="3" l="1"/>
  <c r="C38" i="3"/>
  <c r="A30" i="3"/>
  <c r="B30" i="3"/>
  <c r="H56" i="4"/>
  <c r="G56" i="4"/>
  <c r="B31" i="3" l="1"/>
  <c r="A31" i="3"/>
  <c r="C39" i="3"/>
  <c r="E38" i="3"/>
  <c r="G57" i="4"/>
  <c r="H57" i="4"/>
  <c r="E39" i="3" l="1"/>
  <c r="C40" i="3"/>
  <c r="A32" i="3"/>
  <c r="B32" i="3"/>
  <c r="H58" i="4"/>
  <c r="G58" i="4"/>
  <c r="A33" i="3" l="1"/>
  <c r="B33" i="3"/>
  <c r="C41" i="3"/>
  <c r="E40" i="3"/>
  <c r="H59" i="4"/>
  <c r="G59" i="4"/>
  <c r="A34" i="3" l="1"/>
  <c r="B34" i="3"/>
  <c r="E41" i="3"/>
  <c r="C42" i="3"/>
  <c r="H60" i="4"/>
  <c r="G60" i="4"/>
  <c r="C43" i="3" l="1"/>
  <c r="E42" i="3"/>
  <c r="B35" i="3"/>
  <c r="A35" i="3"/>
  <c r="G61" i="4"/>
  <c r="H61" i="4"/>
  <c r="A36" i="3" l="1"/>
  <c r="B36" i="3"/>
  <c r="E43" i="3"/>
  <c r="C44" i="3"/>
  <c r="H62" i="4"/>
  <c r="G62" i="4"/>
  <c r="C45" i="3" l="1"/>
  <c r="E44" i="3"/>
  <c r="A37" i="3"/>
  <c r="B37" i="3"/>
  <c r="G63" i="4"/>
  <c r="H63" i="4"/>
  <c r="A38" i="3" l="1"/>
  <c r="B38" i="3"/>
  <c r="E45" i="3"/>
  <c r="C46" i="3"/>
  <c r="H64" i="4"/>
  <c r="G64" i="4"/>
  <c r="C47" i="3" l="1"/>
  <c r="E46" i="3"/>
  <c r="B39" i="3"/>
  <c r="A39" i="3"/>
  <c r="G65" i="4"/>
  <c r="H65" i="4"/>
  <c r="A40" i="3" l="1"/>
  <c r="B40" i="3"/>
  <c r="E47" i="3"/>
  <c r="C48" i="3"/>
  <c r="H66" i="4"/>
  <c r="G66" i="4"/>
  <c r="A41" i="3" l="1"/>
  <c r="B41" i="3"/>
  <c r="C49" i="3"/>
  <c r="E48" i="3"/>
  <c r="H67" i="4"/>
  <c r="G67" i="4"/>
  <c r="E49" i="3" l="1"/>
  <c r="C50" i="3"/>
  <c r="A42" i="3"/>
  <c r="B42" i="3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" i="5"/>
  <c r="F20" i="5"/>
  <c r="B43" i="3" l="1"/>
  <c r="A43" i="3"/>
  <c r="C51" i="3"/>
  <c r="E50" i="3"/>
  <c r="E51" i="3" l="1"/>
  <c r="C52" i="3"/>
  <c r="A44" i="3"/>
  <c r="B44" i="3"/>
  <c r="A45" i="3" l="1"/>
  <c r="B45" i="3"/>
  <c r="C53" i="3"/>
  <c r="E52" i="3"/>
  <c r="F37" i="5"/>
  <c r="E37" i="5"/>
  <c r="D37" i="5"/>
  <c r="A37" i="5"/>
  <c r="F36" i="5"/>
  <c r="E36" i="5"/>
  <c r="D36" i="5"/>
  <c r="A36" i="5"/>
  <c r="F35" i="5"/>
  <c r="E35" i="5"/>
  <c r="D35" i="5"/>
  <c r="A35" i="5"/>
  <c r="F34" i="5"/>
  <c r="E34" i="5"/>
  <c r="D34" i="5"/>
  <c r="A34" i="5"/>
  <c r="F33" i="5"/>
  <c r="E33" i="5"/>
  <c r="D33" i="5"/>
  <c r="A33" i="5"/>
  <c r="F32" i="5"/>
  <c r="E32" i="5"/>
  <c r="D32" i="5"/>
  <c r="A32" i="5"/>
  <c r="F31" i="5"/>
  <c r="E31" i="5"/>
  <c r="D31" i="5"/>
  <c r="A31" i="5"/>
  <c r="F30" i="5"/>
  <c r="E30" i="5"/>
  <c r="D30" i="5"/>
  <c r="A30" i="5"/>
  <c r="F29" i="5"/>
  <c r="E29" i="5"/>
  <c r="D29" i="5"/>
  <c r="A29" i="5"/>
  <c r="F28" i="5"/>
  <c r="E28" i="5"/>
  <c r="D28" i="5"/>
  <c r="A28" i="5"/>
  <c r="F27" i="5"/>
  <c r="E27" i="5"/>
  <c r="D27" i="5"/>
  <c r="A27" i="5"/>
  <c r="F26" i="5"/>
  <c r="E26" i="5"/>
  <c r="D26" i="5"/>
  <c r="A26" i="5"/>
  <c r="F25" i="5"/>
  <c r="E25" i="5"/>
  <c r="D25" i="5"/>
  <c r="A25" i="5"/>
  <c r="F24" i="5"/>
  <c r="E24" i="5"/>
  <c r="D24" i="5"/>
  <c r="A24" i="5"/>
  <c r="F23" i="5"/>
  <c r="E23" i="5"/>
  <c r="D23" i="5"/>
  <c r="A23" i="5"/>
  <c r="F22" i="5"/>
  <c r="E22" i="5"/>
  <c r="D22" i="5"/>
  <c r="A22" i="5"/>
  <c r="F21" i="5"/>
  <c r="E21" i="5"/>
  <c r="D21" i="5"/>
  <c r="A21" i="5"/>
  <c r="E20" i="5"/>
  <c r="D20" i="5"/>
  <c r="A20" i="5"/>
  <c r="F19" i="5"/>
  <c r="E19" i="5"/>
  <c r="D19" i="5"/>
  <c r="A19" i="5"/>
  <c r="F18" i="5"/>
  <c r="E18" i="5"/>
  <c r="D18" i="5"/>
  <c r="A18" i="5"/>
  <c r="F17" i="5"/>
  <c r="E17" i="5"/>
  <c r="D17" i="5"/>
  <c r="A17" i="5"/>
  <c r="F16" i="5"/>
  <c r="E16" i="5"/>
  <c r="D16" i="5"/>
  <c r="A16" i="5"/>
  <c r="F15" i="5"/>
  <c r="E15" i="5"/>
  <c r="D15" i="5"/>
  <c r="A15" i="5"/>
  <c r="F14" i="5"/>
  <c r="E14" i="5"/>
  <c r="D14" i="5"/>
  <c r="A14" i="5"/>
  <c r="F13" i="5"/>
  <c r="E13" i="5"/>
  <c r="D13" i="5"/>
  <c r="A13" i="5"/>
  <c r="F12" i="5"/>
  <c r="E12" i="5"/>
  <c r="D12" i="5"/>
  <c r="A12" i="5"/>
  <c r="F11" i="5"/>
  <c r="E11" i="5"/>
  <c r="D11" i="5"/>
  <c r="A11" i="5"/>
  <c r="F10" i="5"/>
  <c r="E10" i="5"/>
  <c r="D10" i="5"/>
  <c r="A10" i="5"/>
  <c r="F9" i="5"/>
  <c r="E9" i="5"/>
  <c r="D9" i="5"/>
  <c r="A9" i="5"/>
  <c r="F8" i="5"/>
  <c r="E8" i="5"/>
  <c r="D8" i="5"/>
  <c r="A8" i="5"/>
  <c r="F7" i="5"/>
  <c r="E7" i="5"/>
  <c r="D7" i="5"/>
  <c r="A7" i="5"/>
  <c r="E6" i="5"/>
  <c r="D6" i="5"/>
  <c r="A6" i="5"/>
  <c r="E5" i="5"/>
  <c r="D5" i="5"/>
  <c r="A5" i="5"/>
  <c r="E4" i="5"/>
  <c r="D4" i="5"/>
  <c r="A4" i="5"/>
  <c r="C64" i="4"/>
  <c r="C65" i="4" s="1"/>
  <c r="E65" i="4" s="1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B37" i="4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A37" i="4"/>
  <c r="D36" i="4"/>
  <c r="D35" i="4"/>
  <c r="D34" i="4"/>
  <c r="D33" i="4"/>
  <c r="D32" i="4"/>
  <c r="D31" i="4"/>
  <c r="B31" i="4"/>
  <c r="A32" i="4" s="1"/>
  <c r="A31" i="4"/>
  <c r="D30" i="4"/>
  <c r="A30" i="4"/>
  <c r="D29" i="4"/>
  <c r="D28" i="4"/>
  <c r="D27" i="4"/>
  <c r="B27" i="4"/>
  <c r="B28" i="4" s="1"/>
  <c r="A29" i="4" s="1"/>
  <c r="A27" i="4"/>
  <c r="D26" i="4"/>
  <c r="A26" i="4"/>
  <c r="D25" i="4"/>
  <c r="D24" i="4"/>
  <c r="D23" i="4"/>
  <c r="B23" i="4"/>
  <c r="A24" i="4" s="1"/>
  <c r="A23" i="4"/>
  <c r="D22" i="4"/>
  <c r="A22" i="4"/>
  <c r="D21" i="4"/>
  <c r="A21" i="4"/>
  <c r="D20" i="4"/>
  <c r="A20" i="4"/>
  <c r="D19" i="4"/>
  <c r="D18" i="4"/>
  <c r="D17" i="4"/>
  <c r="D16" i="4"/>
  <c r="B16" i="4"/>
  <c r="A17" i="4" s="1"/>
  <c r="A16" i="4"/>
  <c r="D15" i="4"/>
  <c r="D14" i="4"/>
  <c r="D13" i="4"/>
  <c r="D12" i="4"/>
  <c r="D11" i="4"/>
  <c r="D10" i="4"/>
  <c r="D9" i="4"/>
  <c r="B9" i="4"/>
  <c r="B10" i="4" s="1"/>
  <c r="A9" i="4"/>
  <c r="D8" i="4"/>
  <c r="D7" i="4"/>
  <c r="D6" i="4"/>
  <c r="D5" i="4"/>
  <c r="D4" i="4"/>
  <c r="B4" i="4"/>
  <c r="A5" i="4" s="1"/>
  <c r="A4" i="4"/>
  <c r="C43" i="7" l="1"/>
  <c r="C17" i="7"/>
  <c r="A42" i="4"/>
  <c r="B24" i="4"/>
  <c r="A25" i="4" s="1"/>
  <c r="C18" i="7"/>
  <c r="E64" i="4"/>
  <c r="E53" i="3"/>
  <c r="C54" i="3"/>
  <c r="A46" i="3"/>
  <c r="B46" i="3"/>
  <c r="F6" i="5"/>
  <c r="D64" i="4"/>
  <c r="F5" i="5"/>
  <c r="F4" i="5"/>
  <c r="A40" i="4"/>
  <c r="A43" i="4"/>
  <c r="B32" i="4"/>
  <c r="A33" i="4" s="1"/>
  <c r="A47" i="4"/>
  <c r="A38" i="4"/>
  <c r="A39" i="4"/>
  <c r="B5" i="4"/>
  <c r="A46" i="4"/>
  <c r="A48" i="4"/>
  <c r="A28" i="4"/>
  <c r="B17" i="4"/>
  <c r="B18" i="4" s="1"/>
  <c r="A19" i="4" s="1"/>
  <c r="B11" i="4"/>
  <c r="A11" i="4"/>
  <c r="B50" i="4"/>
  <c r="A50" i="4"/>
  <c r="A45" i="4"/>
  <c r="A10" i="4"/>
  <c r="A44" i="4"/>
  <c r="C66" i="4"/>
  <c r="A41" i="4"/>
  <c r="A49" i="4"/>
  <c r="D65" i="4"/>
  <c r="G16" i="7" l="1"/>
  <c r="K17" i="7"/>
  <c r="G43" i="7"/>
  <c r="G15" i="7"/>
  <c r="K18" i="7"/>
  <c r="B47" i="3"/>
  <c r="A47" i="3"/>
  <c r="C55" i="3"/>
  <c r="E54" i="3"/>
  <c r="F3" i="5"/>
  <c r="C16" i="7" s="1"/>
  <c r="K16" i="7" s="1"/>
  <c r="B33" i="4"/>
  <c r="B34" i="4" s="1"/>
  <c r="A18" i="4"/>
  <c r="B6" i="4"/>
  <c r="A6" i="4"/>
  <c r="C15" i="7" s="1"/>
  <c r="K15" i="7" s="1"/>
  <c r="B12" i="4"/>
  <c r="A12" i="4"/>
  <c r="B51" i="4"/>
  <c r="A51" i="4"/>
  <c r="C67" i="4"/>
  <c r="D66" i="4"/>
  <c r="E66" i="4"/>
  <c r="G14" i="7" l="1"/>
  <c r="A34" i="4"/>
  <c r="E55" i="3"/>
  <c r="C56" i="3"/>
  <c r="A48" i="3"/>
  <c r="B48" i="3"/>
  <c r="A7" i="4"/>
  <c r="B7" i="4"/>
  <c r="A8" i="4" s="1"/>
  <c r="B35" i="4"/>
  <c r="A36" i="4" s="1"/>
  <c r="A35" i="4"/>
  <c r="B52" i="4"/>
  <c r="A52" i="4"/>
  <c r="C68" i="4"/>
  <c r="E67" i="4"/>
  <c r="D67" i="4"/>
  <c r="A13" i="4"/>
  <c r="B13" i="4"/>
  <c r="K14" i="7" l="1"/>
  <c r="B24" i="7"/>
  <c r="C24" i="7" s="1"/>
  <c r="J24" i="7"/>
  <c r="K24" i="7" s="1"/>
  <c r="F21" i="7"/>
  <c r="G21" i="7" s="1"/>
  <c r="A49" i="3"/>
  <c r="B49" i="3"/>
  <c r="C57" i="3"/>
  <c r="E56" i="3"/>
  <c r="E68" i="4"/>
  <c r="D68" i="4"/>
  <c r="C69" i="4"/>
  <c r="B14" i="4"/>
  <c r="A15" i="4" s="1"/>
  <c r="A14" i="4"/>
  <c r="B53" i="4"/>
  <c r="A53" i="4"/>
  <c r="E57" i="3" l="1"/>
  <c r="C58" i="3"/>
  <c r="A50" i="3"/>
  <c r="B50" i="3"/>
  <c r="E69" i="4"/>
  <c r="C70" i="4"/>
  <c r="D69" i="4"/>
  <c r="B54" i="4"/>
  <c r="A54" i="4"/>
  <c r="B51" i="3" l="1"/>
  <c r="A51" i="3"/>
  <c r="C59" i="3"/>
  <c r="E58" i="3"/>
  <c r="E70" i="4"/>
  <c r="C71" i="4"/>
  <c r="D70" i="4"/>
  <c r="B55" i="4"/>
  <c r="A55" i="4"/>
  <c r="A52" i="3" l="1"/>
  <c r="B52" i="3"/>
  <c r="E59" i="3"/>
  <c r="C60" i="3"/>
  <c r="B56" i="4"/>
  <c r="A56" i="4"/>
  <c r="C72" i="4"/>
  <c r="D71" i="4"/>
  <c r="E71" i="4"/>
  <c r="C61" i="3" l="1"/>
  <c r="E60" i="3"/>
  <c r="A53" i="3"/>
  <c r="B53" i="3"/>
  <c r="E72" i="4"/>
  <c r="D72" i="4"/>
  <c r="C73" i="4"/>
  <c r="B57" i="4"/>
  <c r="A57" i="4"/>
  <c r="E61" i="3" l="1"/>
  <c r="C62" i="3"/>
  <c r="A54" i="3"/>
  <c r="B54" i="3"/>
  <c r="E73" i="4"/>
  <c r="C74" i="4"/>
  <c r="D73" i="4"/>
  <c r="B58" i="4"/>
  <c r="A58" i="4"/>
  <c r="C63" i="3" l="1"/>
  <c r="E62" i="3"/>
  <c r="B55" i="3"/>
  <c r="A55" i="3"/>
  <c r="B59" i="4"/>
  <c r="A59" i="4"/>
  <c r="C75" i="4"/>
  <c r="D74" i="4"/>
  <c r="E74" i="4"/>
  <c r="E63" i="3" l="1"/>
  <c r="C64" i="3"/>
  <c r="A56" i="3"/>
  <c r="B56" i="3"/>
  <c r="B60" i="4"/>
  <c r="A60" i="4"/>
  <c r="E75" i="4"/>
  <c r="D75" i="4"/>
  <c r="C76" i="4"/>
  <c r="C65" i="3" l="1"/>
  <c r="E64" i="3"/>
  <c r="A57" i="3"/>
  <c r="B57" i="3"/>
  <c r="E76" i="4"/>
  <c r="C77" i="4"/>
  <c r="D76" i="4"/>
  <c r="B61" i="4"/>
  <c r="A61" i="4"/>
  <c r="A58" i="3" l="1"/>
  <c r="B58" i="3"/>
  <c r="E65" i="3"/>
  <c r="C66" i="3"/>
  <c r="E77" i="4"/>
  <c r="C78" i="4"/>
  <c r="D77" i="4"/>
  <c r="B62" i="4"/>
  <c r="A62" i="4"/>
  <c r="C67" i="3" l="1"/>
  <c r="E66" i="3"/>
  <c r="B59" i="3"/>
  <c r="A59" i="3"/>
  <c r="E78" i="4"/>
  <c r="C79" i="4"/>
  <c r="D78" i="4"/>
  <c r="B63" i="4"/>
  <c r="A63" i="4"/>
  <c r="A60" i="3" l="1"/>
  <c r="B60" i="3"/>
  <c r="E67" i="3"/>
  <c r="C68" i="3"/>
  <c r="D79" i="4"/>
  <c r="E79" i="4"/>
  <c r="B64" i="4"/>
  <c r="A64" i="4"/>
  <c r="A61" i="3" l="1"/>
  <c r="B61" i="3"/>
  <c r="C69" i="3"/>
  <c r="E68" i="3"/>
  <c r="B65" i="4"/>
  <c r="A65" i="4"/>
  <c r="E69" i="3" l="1"/>
  <c r="C70" i="3"/>
  <c r="A62" i="3"/>
  <c r="B62" i="3"/>
  <c r="A66" i="4"/>
  <c r="B66" i="4"/>
  <c r="B63" i="3" l="1"/>
  <c r="A63" i="3"/>
  <c r="C71" i="3"/>
  <c r="E70" i="3"/>
  <c r="B67" i="4"/>
  <c r="A67" i="4"/>
  <c r="E71" i="3" l="1"/>
  <c r="C72" i="3"/>
  <c r="A64" i="3"/>
  <c r="B64" i="3"/>
  <c r="B68" i="4"/>
  <c r="A68" i="4"/>
  <c r="C73" i="3" l="1"/>
  <c r="E72" i="3"/>
  <c r="A65" i="3"/>
  <c r="B65" i="3"/>
  <c r="A69" i="4"/>
  <c r="B69" i="4"/>
  <c r="A66" i="3" l="1"/>
  <c r="B66" i="3"/>
  <c r="E73" i="3"/>
  <c r="C74" i="3"/>
  <c r="B70" i="4"/>
  <c r="A70" i="4"/>
  <c r="C75" i="3" l="1"/>
  <c r="E74" i="3"/>
  <c r="B67" i="3"/>
  <c r="A67" i="3"/>
  <c r="B71" i="4"/>
  <c r="A71" i="4"/>
  <c r="A68" i="3" l="1"/>
  <c r="B68" i="3"/>
  <c r="E75" i="3"/>
  <c r="C76" i="3"/>
  <c r="B72" i="4"/>
  <c r="A72" i="4"/>
  <c r="C77" i="3" l="1"/>
  <c r="E76" i="3"/>
  <c r="A69" i="3"/>
  <c r="B69" i="3"/>
  <c r="B73" i="4"/>
  <c r="A73" i="4"/>
  <c r="A70" i="3" l="1"/>
  <c r="B70" i="3"/>
  <c r="E77" i="3"/>
  <c r="C78" i="3"/>
  <c r="A74" i="4"/>
  <c r="B74" i="4"/>
  <c r="C79" i="3" l="1"/>
  <c r="E78" i="3"/>
  <c r="B71" i="3"/>
  <c r="A71" i="3"/>
  <c r="B75" i="4"/>
  <c r="A75" i="4"/>
  <c r="A72" i="3" l="1"/>
  <c r="B72" i="3"/>
  <c r="E79" i="3"/>
  <c r="C80" i="3"/>
  <c r="B76" i="4"/>
  <c r="A76" i="4"/>
  <c r="C81" i="3" l="1"/>
  <c r="E80" i="3"/>
  <c r="A73" i="3"/>
  <c r="B73" i="3"/>
  <c r="A77" i="4"/>
  <c r="B77" i="4"/>
  <c r="A74" i="3" l="1"/>
  <c r="B74" i="3"/>
  <c r="E81" i="3"/>
  <c r="C82" i="3"/>
  <c r="A78" i="4"/>
  <c r="B78" i="4"/>
  <c r="C83" i="3" l="1"/>
  <c r="E82" i="3"/>
  <c r="B75" i="3"/>
  <c r="A75" i="3"/>
  <c r="B79" i="4"/>
  <c r="A79" i="4"/>
  <c r="A76" i="3" l="1"/>
  <c r="B76" i="3"/>
  <c r="E83" i="3"/>
  <c r="C84" i="3"/>
  <c r="C85" i="3" l="1"/>
  <c r="E84" i="3"/>
  <c r="A77" i="3"/>
  <c r="B77" i="3"/>
  <c r="A78" i="3" l="1"/>
  <c r="B78" i="3"/>
  <c r="E85" i="3"/>
  <c r="C86" i="3"/>
  <c r="C87" i="3" l="1"/>
  <c r="E86" i="3"/>
  <c r="B79" i="3"/>
  <c r="A79" i="3"/>
  <c r="A80" i="3" l="1"/>
  <c r="B80" i="3"/>
  <c r="E87" i="3"/>
  <c r="C88" i="3"/>
  <c r="C89" i="3" l="1"/>
  <c r="E88" i="3"/>
  <c r="A81" i="3"/>
  <c r="B81" i="3"/>
  <c r="A82" i="3" l="1"/>
  <c r="B82" i="3"/>
  <c r="E89" i="3"/>
  <c r="C90" i="3"/>
  <c r="C91" i="3" l="1"/>
  <c r="E90" i="3"/>
  <c r="B83" i="3"/>
  <c r="A83" i="3"/>
  <c r="A84" i="3" l="1"/>
  <c r="B84" i="3"/>
  <c r="E91" i="3"/>
  <c r="C92" i="3"/>
  <c r="E92" i="3" l="1"/>
  <c r="C93" i="3"/>
  <c r="A85" i="3"/>
  <c r="B85" i="3"/>
  <c r="A86" i="3" l="1"/>
  <c r="B86" i="3"/>
  <c r="C94" i="3"/>
  <c r="E93" i="3"/>
  <c r="B87" i="3" l="1"/>
  <c r="A87" i="3"/>
  <c r="C95" i="3"/>
  <c r="E94" i="3"/>
  <c r="E95" i="3" l="1"/>
  <c r="C96" i="3"/>
  <c r="A88" i="3"/>
  <c r="B88" i="3"/>
  <c r="E96" i="3" l="1"/>
  <c r="C97" i="3"/>
  <c r="A89" i="3"/>
  <c r="B89" i="3"/>
  <c r="C98" i="3" l="1"/>
  <c r="E97" i="3"/>
  <c r="A90" i="3"/>
  <c r="B90" i="3"/>
  <c r="B91" i="3" l="1"/>
  <c r="A91" i="3"/>
  <c r="C99" i="3"/>
  <c r="E98" i="3"/>
  <c r="E99" i="3" l="1"/>
  <c r="C100" i="3"/>
  <c r="A92" i="3"/>
  <c r="B92" i="3"/>
  <c r="A93" i="3" l="1"/>
  <c r="B93" i="3"/>
  <c r="E100" i="3"/>
  <c r="C101" i="3"/>
  <c r="C102" i="3" l="1"/>
  <c r="E101" i="3"/>
  <c r="A94" i="3"/>
  <c r="B94" i="3"/>
  <c r="B95" i="3" l="1"/>
  <c r="A95" i="3"/>
  <c r="C103" i="3"/>
  <c r="E102" i="3"/>
  <c r="E103" i="3" l="1"/>
  <c r="C104" i="3"/>
  <c r="B96" i="3"/>
  <c r="A96" i="3"/>
  <c r="A97" i="3" l="1"/>
  <c r="B97" i="3"/>
  <c r="E104" i="3"/>
  <c r="C105" i="3"/>
  <c r="C106" i="3" l="1"/>
  <c r="E105" i="3"/>
  <c r="A98" i="3"/>
  <c r="B98" i="3"/>
  <c r="B99" i="3" l="1"/>
  <c r="A99" i="3"/>
  <c r="C107" i="3"/>
  <c r="E106" i="3"/>
  <c r="E107" i="3" l="1"/>
  <c r="C108" i="3"/>
  <c r="A100" i="3"/>
  <c r="B100" i="3"/>
  <c r="A101" i="3" l="1"/>
  <c r="B101" i="3"/>
  <c r="E108" i="3"/>
  <c r="C109" i="3"/>
  <c r="C110" i="3" l="1"/>
  <c r="E109" i="3"/>
  <c r="A102" i="3"/>
  <c r="B102" i="3"/>
  <c r="B103" i="3" l="1"/>
  <c r="A103" i="3"/>
  <c r="C111" i="3"/>
  <c r="E110" i="3"/>
  <c r="E111" i="3" l="1"/>
  <c r="C112" i="3"/>
  <c r="B104" i="3"/>
  <c r="A104" i="3"/>
  <c r="A105" i="3" l="1"/>
  <c r="B105" i="3"/>
  <c r="E112" i="3"/>
  <c r="C113" i="3"/>
  <c r="C114" i="3" l="1"/>
  <c r="E113" i="3"/>
  <c r="A106" i="3"/>
  <c r="B106" i="3"/>
  <c r="B107" i="3" l="1"/>
  <c r="A107" i="3"/>
  <c r="E114" i="3"/>
  <c r="C115" i="3"/>
  <c r="E115" i="3" l="1"/>
  <c r="C116" i="3"/>
  <c r="A108" i="3"/>
  <c r="B108" i="3"/>
  <c r="E116" i="3" l="1"/>
  <c r="C117" i="3"/>
  <c r="A109" i="3"/>
  <c r="B109" i="3"/>
  <c r="A110" i="3" l="1"/>
  <c r="B110" i="3"/>
  <c r="C118" i="3"/>
  <c r="E117" i="3"/>
  <c r="E118" i="3" l="1"/>
  <c r="C119" i="3"/>
  <c r="B111" i="3"/>
  <c r="A111" i="3"/>
  <c r="B112" i="3" l="1"/>
  <c r="A112" i="3"/>
  <c r="E119" i="3"/>
  <c r="C120" i="3"/>
  <c r="E120" i="3" l="1"/>
  <c r="C121" i="3"/>
  <c r="A113" i="3"/>
  <c r="B113" i="3"/>
  <c r="A114" i="3" l="1"/>
  <c r="B114" i="3"/>
  <c r="C122" i="3"/>
  <c r="E121" i="3"/>
  <c r="E122" i="3" l="1"/>
  <c r="C123" i="3"/>
  <c r="B115" i="3"/>
  <c r="A115" i="3"/>
  <c r="A116" i="3" l="1"/>
  <c r="B116" i="3"/>
  <c r="E123" i="3"/>
  <c r="C124" i="3"/>
  <c r="E124" i="3" l="1"/>
  <c r="C125" i="3"/>
  <c r="A117" i="3"/>
  <c r="B117" i="3"/>
  <c r="B118" i="3" l="1"/>
  <c r="A118" i="3"/>
  <c r="C126" i="3"/>
  <c r="E125" i="3"/>
  <c r="E126" i="3" l="1"/>
  <c r="C127" i="3"/>
  <c r="B119" i="3"/>
  <c r="A119" i="3"/>
  <c r="A120" i="3" l="1"/>
  <c r="B120" i="3"/>
  <c r="E127" i="3"/>
  <c r="C128" i="3"/>
  <c r="E128" i="3" l="1"/>
  <c r="C129" i="3"/>
  <c r="A121" i="3"/>
  <c r="B121" i="3"/>
  <c r="B122" i="3" l="1"/>
  <c r="A122" i="3"/>
  <c r="C130" i="3"/>
  <c r="E129" i="3"/>
  <c r="E130" i="3" l="1"/>
  <c r="C131" i="3"/>
  <c r="B123" i="3"/>
  <c r="A123" i="3"/>
  <c r="A124" i="3" l="1"/>
  <c r="B124" i="3"/>
  <c r="E131" i="3"/>
  <c r="C132" i="3"/>
  <c r="E132" i="3" l="1"/>
  <c r="C133" i="3"/>
  <c r="A125" i="3"/>
  <c r="B125" i="3"/>
  <c r="B126" i="3" l="1"/>
  <c r="A126" i="3"/>
  <c r="C134" i="3"/>
  <c r="E133" i="3"/>
  <c r="E134" i="3" l="1"/>
  <c r="C135" i="3"/>
  <c r="B127" i="3"/>
  <c r="A127" i="3"/>
  <c r="A128" i="3" l="1"/>
  <c r="B128" i="3"/>
  <c r="E135" i="3"/>
  <c r="C136" i="3"/>
  <c r="E136" i="3" l="1"/>
  <c r="C137" i="3"/>
  <c r="A129" i="3"/>
  <c r="B129" i="3"/>
  <c r="B130" i="3" l="1"/>
  <c r="A130" i="3"/>
  <c r="C138" i="3"/>
  <c r="E137" i="3"/>
  <c r="E138" i="3" l="1"/>
  <c r="C139" i="3"/>
  <c r="B131" i="3"/>
  <c r="A131" i="3"/>
  <c r="A132" i="3" l="1"/>
  <c r="B132" i="3"/>
  <c r="E139" i="3"/>
  <c r="C140" i="3"/>
  <c r="E140" i="3" l="1"/>
  <c r="C141" i="3"/>
  <c r="A133" i="3"/>
  <c r="B133" i="3"/>
  <c r="B134" i="3" l="1"/>
  <c r="A134" i="3"/>
  <c r="C142" i="3"/>
  <c r="E141" i="3"/>
  <c r="E142" i="3" l="1"/>
  <c r="C143" i="3"/>
  <c r="B135" i="3"/>
  <c r="A135" i="3"/>
  <c r="A136" i="3" l="1"/>
  <c r="B136" i="3"/>
  <c r="E143" i="3"/>
  <c r="C144" i="3"/>
  <c r="E144" i="3" l="1"/>
  <c r="C145" i="3"/>
  <c r="A137" i="3"/>
  <c r="B137" i="3"/>
  <c r="B138" i="3" l="1"/>
  <c r="A138" i="3"/>
  <c r="C146" i="3"/>
  <c r="E145" i="3"/>
  <c r="E146" i="3" l="1"/>
  <c r="C147" i="3"/>
  <c r="B139" i="3"/>
  <c r="A139" i="3"/>
  <c r="A140" i="3" l="1"/>
  <c r="B140" i="3"/>
  <c r="E147" i="3"/>
  <c r="C148" i="3"/>
  <c r="E148" i="3" l="1"/>
  <c r="C149" i="3"/>
  <c r="A141" i="3"/>
  <c r="B141" i="3"/>
  <c r="B142" i="3" l="1"/>
  <c r="A142" i="3"/>
  <c r="C150" i="3"/>
  <c r="E149" i="3"/>
  <c r="E150" i="3" l="1"/>
  <c r="C151" i="3"/>
  <c r="B143" i="3"/>
  <c r="A143" i="3"/>
  <c r="A144" i="3" l="1"/>
  <c r="B144" i="3"/>
  <c r="E151" i="3"/>
  <c r="C152" i="3"/>
  <c r="E152" i="3" l="1"/>
  <c r="C153" i="3"/>
  <c r="A145" i="3"/>
  <c r="B145" i="3"/>
  <c r="B146" i="3" l="1"/>
  <c r="A146" i="3"/>
  <c r="C154" i="3"/>
  <c r="E153" i="3"/>
  <c r="E154" i="3" l="1"/>
  <c r="C155" i="3"/>
  <c r="B147" i="3"/>
  <c r="A147" i="3"/>
  <c r="A148" i="3" l="1"/>
  <c r="B148" i="3"/>
  <c r="E155" i="3"/>
  <c r="C156" i="3"/>
  <c r="B10" i="7" l="1"/>
  <c r="E156" i="3"/>
  <c r="C157" i="3"/>
  <c r="A149" i="3"/>
  <c r="B149" i="3"/>
  <c r="B150" i="3" l="1"/>
  <c r="A150" i="3"/>
  <c r="C158" i="3"/>
  <c r="E157" i="3"/>
  <c r="E158" i="3" l="1"/>
  <c r="C159" i="3"/>
  <c r="B151" i="3"/>
  <c r="A151" i="3"/>
  <c r="A152" i="3" l="1"/>
  <c r="B152" i="3"/>
  <c r="E159" i="3"/>
  <c r="C160" i="3"/>
  <c r="E160" i="3" l="1"/>
  <c r="C161" i="3"/>
  <c r="A153" i="3"/>
  <c r="B153" i="3"/>
  <c r="B154" i="3" l="1"/>
  <c r="A154" i="3"/>
  <c r="C162" i="3"/>
  <c r="E161" i="3"/>
  <c r="E162" i="3" l="1"/>
  <c r="C163" i="3"/>
  <c r="B155" i="3"/>
  <c r="A155" i="3"/>
  <c r="A156" i="3" l="1"/>
  <c r="B156" i="3"/>
  <c r="E163" i="3"/>
  <c r="C164" i="3"/>
  <c r="E164" i="3" l="1"/>
  <c r="C165" i="3"/>
  <c r="A157" i="3"/>
  <c r="B157" i="3"/>
  <c r="B158" i="3" l="1"/>
  <c r="A158" i="3"/>
  <c r="C166" i="3"/>
  <c r="E165" i="3"/>
  <c r="E166" i="3" l="1"/>
  <c r="C167" i="3"/>
  <c r="B159" i="3"/>
  <c r="A159" i="3"/>
  <c r="A160" i="3" l="1"/>
  <c r="B160" i="3"/>
  <c r="E167" i="3"/>
  <c r="C168" i="3"/>
  <c r="E168" i="3" l="1"/>
  <c r="C169" i="3"/>
  <c r="A161" i="3"/>
  <c r="B161" i="3"/>
  <c r="B162" i="3" l="1"/>
  <c r="A162" i="3"/>
  <c r="C170" i="3"/>
  <c r="E169" i="3"/>
  <c r="E170" i="3" l="1"/>
  <c r="C171" i="3"/>
  <c r="B163" i="3"/>
  <c r="A163" i="3"/>
  <c r="A164" i="3" l="1"/>
  <c r="B164" i="3"/>
  <c r="E171" i="3"/>
  <c r="C172" i="3"/>
  <c r="E172" i="3" l="1"/>
  <c r="C173" i="3"/>
  <c r="A165" i="3"/>
  <c r="B165" i="3"/>
  <c r="C174" i="3" l="1"/>
  <c r="E173" i="3"/>
  <c r="B166" i="3"/>
  <c r="A166" i="3"/>
  <c r="B167" i="3" l="1"/>
  <c r="A167" i="3"/>
  <c r="E174" i="3"/>
  <c r="C175" i="3"/>
  <c r="E175" i="3" l="1"/>
  <c r="C176" i="3"/>
  <c r="A168" i="3"/>
  <c r="B168" i="3"/>
  <c r="A169" i="3" l="1"/>
  <c r="B169" i="3"/>
  <c r="E176" i="3"/>
  <c r="C177" i="3"/>
  <c r="C178" i="3" l="1"/>
  <c r="E177" i="3"/>
  <c r="B170" i="3"/>
  <c r="A170" i="3"/>
  <c r="B171" i="3" l="1"/>
  <c r="A171" i="3"/>
  <c r="E178" i="3"/>
  <c r="C179" i="3"/>
  <c r="E179" i="3" l="1"/>
  <c r="C180" i="3"/>
  <c r="A172" i="3"/>
  <c r="B172" i="3"/>
  <c r="A173" i="3" l="1"/>
  <c r="B173" i="3"/>
  <c r="E180" i="3"/>
  <c r="C181" i="3"/>
  <c r="C182" i="3" l="1"/>
  <c r="E181" i="3"/>
  <c r="B174" i="3"/>
  <c r="A174" i="3"/>
  <c r="B175" i="3" l="1"/>
  <c r="A175" i="3"/>
  <c r="E182" i="3"/>
  <c r="C183" i="3"/>
  <c r="E183" i="3" l="1"/>
  <c r="C184" i="3"/>
  <c r="A176" i="3"/>
  <c r="B176" i="3"/>
  <c r="A177" i="3" l="1"/>
  <c r="B177" i="3"/>
  <c r="E184" i="3"/>
  <c r="C185" i="3"/>
  <c r="C186" i="3" l="1"/>
  <c r="E185" i="3"/>
  <c r="B178" i="3"/>
  <c r="A178" i="3"/>
  <c r="B179" i="3" l="1"/>
  <c r="A179" i="3"/>
  <c r="E186" i="3"/>
  <c r="C187" i="3"/>
  <c r="E187" i="3" l="1"/>
  <c r="C188" i="3"/>
  <c r="A180" i="3"/>
  <c r="B180" i="3"/>
  <c r="A181" i="3" l="1"/>
  <c r="B181" i="3"/>
  <c r="C189" i="3"/>
  <c r="E188" i="3"/>
  <c r="C190" i="3" l="1"/>
  <c r="E189" i="3"/>
  <c r="B182" i="3"/>
  <c r="A182" i="3"/>
  <c r="B183" i="3" l="1"/>
  <c r="A183" i="3"/>
  <c r="E190" i="3"/>
  <c r="C191" i="3"/>
  <c r="C192" i="3" l="1"/>
  <c r="E191" i="3"/>
  <c r="A184" i="3"/>
  <c r="B184" i="3"/>
  <c r="A185" i="3" l="1"/>
  <c r="B185" i="3"/>
  <c r="C193" i="3"/>
  <c r="E192" i="3"/>
  <c r="E193" i="3" l="1"/>
  <c r="C194" i="3"/>
  <c r="B186" i="3"/>
  <c r="A186" i="3"/>
  <c r="A187" i="3" l="1"/>
  <c r="B187" i="3"/>
  <c r="E194" i="3"/>
  <c r="C195" i="3"/>
  <c r="C196" i="3" l="1"/>
  <c r="E195" i="3"/>
  <c r="A188" i="3"/>
  <c r="B188" i="3"/>
  <c r="B189" i="3" l="1"/>
  <c r="A189" i="3"/>
  <c r="C197" i="3"/>
  <c r="E196" i="3"/>
  <c r="E197" i="3" l="1"/>
  <c r="C198" i="3"/>
  <c r="B190" i="3"/>
  <c r="A190" i="3"/>
  <c r="A191" i="3" l="1"/>
  <c r="B191" i="3"/>
  <c r="E198" i="3"/>
  <c r="C199" i="3"/>
  <c r="C200" i="3" l="1"/>
  <c r="E199" i="3"/>
  <c r="A192" i="3"/>
  <c r="B192" i="3"/>
  <c r="B193" i="3" l="1"/>
  <c r="A193" i="3"/>
  <c r="C201" i="3"/>
  <c r="E200" i="3"/>
  <c r="E201" i="3" l="1"/>
  <c r="C202" i="3"/>
  <c r="A194" i="3"/>
  <c r="B194" i="3"/>
  <c r="B195" i="3" l="1"/>
  <c r="A195" i="3"/>
  <c r="E202" i="3"/>
  <c r="C203" i="3"/>
  <c r="E203" i="3" l="1"/>
  <c r="C204" i="3"/>
  <c r="A196" i="3"/>
  <c r="B196" i="3"/>
  <c r="A197" i="3" l="1"/>
  <c r="B197" i="3"/>
  <c r="C205" i="3"/>
  <c r="E204" i="3"/>
  <c r="E205" i="3" l="1"/>
  <c r="C206" i="3"/>
  <c r="B198" i="3"/>
  <c r="A198" i="3"/>
  <c r="B199" i="3" l="1"/>
  <c r="A199" i="3"/>
  <c r="E206" i="3"/>
  <c r="C207" i="3"/>
  <c r="E207" i="3" l="1"/>
  <c r="C208" i="3"/>
  <c r="A200" i="3"/>
  <c r="B200" i="3"/>
  <c r="A201" i="3" l="1"/>
  <c r="B201" i="3"/>
  <c r="C209" i="3"/>
  <c r="E208" i="3"/>
  <c r="E209" i="3" l="1"/>
  <c r="C210" i="3"/>
  <c r="A202" i="3"/>
  <c r="B202" i="3"/>
  <c r="B203" i="3" l="1"/>
  <c r="A203" i="3"/>
  <c r="E210" i="3"/>
  <c r="C211" i="3"/>
  <c r="C212" i="3" l="1"/>
  <c r="E211" i="3"/>
  <c r="A204" i="3"/>
  <c r="B204" i="3"/>
  <c r="A205" i="3" l="1"/>
  <c r="B205" i="3"/>
  <c r="C213" i="3"/>
  <c r="E212" i="3"/>
  <c r="E213" i="3" l="1"/>
  <c r="C214" i="3"/>
  <c r="A206" i="3"/>
  <c r="B206" i="3"/>
  <c r="A207" i="3" l="1"/>
  <c r="B207" i="3"/>
  <c r="E214" i="3"/>
  <c r="C215" i="3"/>
  <c r="E215" i="3" l="1"/>
  <c r="C216" i="3"/>
  <c r="A208" i="3"/>
  <c r="B208" i="3"/>
  <c r="A209" i="3" l="1"/>
  <c r="B209" i="3"/>
  <c r="C217" i="3"/>
  <c r="E216" i="3"/>
  <c r="E217" i="3" l="1"/>
  <c r="C218" i="3"/>
  <c r="B210" i="3"/>
  <c r="A210" i="3"/>
  <c r="A211" i="3" l="1"/>
  <c r="B211" i="3"/>
  <c r="C219" i="3"/>
  <c r="E218" i="3"/>
  <c r="E219" i="3" l="1"/>
  <c r="C220" i="3"/>
  <c r="A212" i="3"/>
  <c r="B212" i="3"/>
  <c r="C221" i="3" l="1"/>
  <c r="E220" i="3"/>
  <c r="A213" i="3"/>
  <c r="B213" i="3"/>
  <c r="A214" i="3" l="1"/>
  <c r="B214" i="3"/>
  <c r="C222" i="3"/>
  <c r="E221" i="3"/>
  <c r="E222" i="3" l="1"/>
  <c r="C223" i="3"/>
  <c r="A215" i="3"/>
  <c r="B215" i="3"/>
  <c r="A216" i="3" l="1"/>
  <c r="B216" i="3"/>
  <c r="C224" i="3"/>
  <c r="E223" i="3"/>
  <c r="C225" i="3" l="1"/>
  <c r="E224" i="3"/>
  <c r="B217" i="3"/>
  <c r="A217" i="3"/>
  <c r="A218" i="3" l="1"/>
  <c r="B218" i="3"/>
  <c r="E225" i="3"/>
  <c r="C226" i="3"/>
  <c r="C227" i="3" l="1"/>
  <c r="E226" i="3"/>
  <c r="B219" i="3"/>
  <c r="A219" i="3"/>
  <c r="A220" i="3" l="1"/>
  <c r="B220" i="3"/>
  <c r="C228" i="3"/>
  <c r="E227" i="3"/>
  <c r="C229" i="3" l="1"/>
  <c r="E228" i="3"/>
  <c r="A221" i="3"/>
  <c r="B221" i="3"/>
  <c r="B222" i="3" l="1"/>
  <c r="A222" i="3"/>
  <c r="C230" i="3"/>
  <c r="E229" i="3"/>
  <c r="C231" i="3" l="1"/>
  <c r="E230" i="3"/>
  <c r="A223" i="3"/>
  <c r="B223" i="3"/>
  <c r="A224" i="3" l="1"/>
  <c r="B224" i="3"/>
  <c r="E231" i="3"/>
  <c r="C232" i="3"/>
  <c r="C233" i="3" l="1"/>
  <c r="E232" i="3"/>
  <c r="B225" i="3"/>
  <c r="A225" i="3"/>
  <c r="A226" i="3" l="1"/>
  <c r="B226" i="3"/>
  <c r="C234" i="3"/>
  <c r="E233" i="3"/>
  <c r="E234" i="3" l="1"/>
  <c r="C235" i="3"/>
  <c r="A227" i="3"/>
  <c r="B227" i="3"/>
  <c r="A228" i="3" l="1"/>
  <c r="B228" i="3"/>
  <c r="C236" i="3"/>
  <c r="E235" i="3"/>
  <c r="C237" i="3" l="1"/>
  <c r="E236" i="3"/>
  <c r="A229" i="3"/>
  <c r="B229" i="3"/>
  <c r="A230" i="3" l="1"/>
  <c r="B230" i="3"/>
  <c r="E237" i="3"/>
  <c r="C238" i="3"/>
  <c r="C239" i="3" l="1"/>
  <c r="E238" i="3"/>
  <c r="A231" i="3"/>
  <c r="B231" i="3"/>
  <c r="A232" i="3" l="1"/>
  <c r="B232" i="3"/>
  <c r="E239" i="3"/>
  <c r="C240" i="3"/>
  <c r="C241" i="3" l="1"/>
  <c r="E240" i="3"/>
  <c r="A233" i="3"/>
  <c r="B233" i="3"/>
  <c r="A234" i="3" l="1"/>
  <c r="B234" i="3"/>
  <c r="C242" i="3"/>
  <c r="E241" i="3"/>
  <c r="E242" i="3" l="1"/>
  <c r="C243" i="3"/>
  <c r="A235" i="3"/>
  <c r="B235" i="3"/>
  <c r="A236" i="3" l="1"/>
  <c r="B236" i="3"/>
  <c r="E243" i="3"/>
  <c r="C244" i="3"/>
  <c r="C245" i="3" l="1"/>
  <c r="E244" i="3"/>
  <c r="A237" i="3"/>
  <c r="B237" i="3"/>
  <c r="A238" i="3" l="1"/>
  <c r="B238" i="3"/>
  <c r="E245" i="3"/>
  <c r="C246" i="3"/>
  <c r="E246" i="3" l="1"/>
  <c r="C247" i="3"/>
  <c r="A239" i="3"/>
  <c r="B239" i="3"/>
  <c r="A240" i="3" l="1"/>
  <c r="B240" i="3"/>
  <c r="C248" i="3"/>
  <c r="E247" i="3"/>
  <c r="E248" i="3" l="1"/>
  <c r="C249" i="3"/>
  <c r="A241" i="3"/>
  <c r="B241" i="3"/>
  <c r="A242" i="3" l="1"/>
  <c r="B242" i="3"/>
  <c r="E249" i="3"/>
  <c r="C250" i="3"/>
  <c r="C251" i="3" l="1"/>
  <c r="E250" i="3"/>
  <c r="A243" i="3"/>
  <c r="B243" i="3"/>
  <c r="A244" i="3" l="1"/>
  <c r="B244" i="3"/>
  <c r="C252" i="3"/>
  <c r="E251" i="3"/>
  <c r="E252" i="3" l="1"/>
  <c r="C253" i="3"/>
  <c r="A245" i="3"/>
  <c r="B245" i="3"/>
  <c r="A246" i="3" l="1"/>
  <c r="B246" i="3"/>
  <c r="E253" i="3"/>
  <c r="C254" i="3"/>
  <c r="C255" i="3" l="1"/>
  <c r="E254" i="3"/>
  <c r="A247" i="3"/>
  <c r="B247" i="3"/>
  <c r="A248" i="3" l="1"/>
  <c r="B248" i="3"/>
  <c r="C256" i="3"/>
  <c r="E255" i="3"/>
  <c r="E256" i="3" l="1"/>
  <c r="C257" i="3"/>
  <c r="A249" i="3"/>
  <c r="B249" i="3"/>
  <c r="A250" i="3" l="1"/>
  <c r="B250" i="3"/>
  <c r="E257" i="3"/>
  <c r="C258" i="3"/>
  <c r="C259" i="3" l="1"/>
  <c r="E258" i="3"/>
  <c r="A251" i="3"/>
  <c r="B251" i="3"/>
  <c r="B252" i="3" l="1"/>
  <c r="A252" i="3"/>
  <c r="C260" i="3"/>
  <c r="E259" i="3"/>
  <c r="E260" i="3" l="1"/>
  <c r="C261" i="3"/>
  <c r="A253" i="3"/>
  <c r="B253" i="3"/>
  <c r="A254" i="3" l="1"/>
  <c r="B254" i="3"/>
  <c r="E261" i="3"/>
  <c r="C262" i="3"/>
  <c r="C263" i="3" l="1"/>
  <c r="E262" i="3"/>
  <c r="A255" i="3"/>
  <c r="B255" i="3"/>
  <c r="B256" i="3" l="1"/>
  <c r="A256" i="3"/>
  <c r="C264" i="3"/>
  <c r="E263" i="3"/>
  <c r="E264" i="3" l="1"/>
  <c r="C265" i="3"/>
  <c r="A257" i="3"/>
  <c r="B257" i="3"/>
  <c r="A258" i="3" l="1"/>
  <c r="B258" i="3"/>
  <c r="E265" i="3"/>
  <c r="C266" i="3"/>
  <c r="C267" i="3" l="1"/>
  <c r="E266" i="3"/>
  <c r="A259" i="3"/>
  <c r="B259" i="3"/>
  <c r="B260" i="3" l="1"/>
  <c r="A260" i="3"/>
  <c r="C268" i="3"/>
  <c r="E267" i="3"/>
  <c r="E268" i="3" l="1"/>
  <c r="C269" i="3"/>
  <c r="A261" i="3"/>
  <c r="B261" i="3"/>
  <c r="A262" i="3" l="1"/>
  <c r="B262" i="3"/>
  <c r="E269" i="3"/>
  <c r="C270" i="3"/>
  <c r="C271" i="3" l="1"/>
  <c r="E270" i="3"/>
  <c r="A263" i="3"/>
  <c r="B263" i="3"/>
  <c r="B264" i="3" l="1"/>
  <c r="A264" i="3"/>
  <c r="C272" i="3"/>
  <c r="E271" i="3"/>
  <c r="E272" i="3" l="1"/>
  <c r="C273" i="3"/>
  <c r="B265" i="3"/>
  <c r="A265" i="3"/>
  <c r="A266" i="3" l="1"/>
  <c r="B266" i="3"/>
  <c r="E273" i="3"/>
  <c r="C274" i="3"/>
  <c r="E274" i="3" l="1"/>
  <c r="C275" i="3"/>
  <c r="A267" i="3"/>
  <c r="B267" i="3"/>
  <c r="B268" i="3" l="1"/>
  <c r="A268" i="3"/>
  <c r="C276" i="3"/>
  <c r="E275" i="3"/>
  <c r="E276" i="3" l="1"/>
  <c r="C277" i="3"/>
  <c r="A269" i="3"/>
  <c r="B269" i="3"/>
  <c r="A270" i="3" l="1"/>
  <c r="B270" i="3"/>
  <c r="E277" i="3"/>
  <c r="C278" i="3"/>
  <c r="E278" i="3" l="1"/>
  <c r="C279" i="3"/>
  <c r="A271" i="3"/>
  <c r="B271" i="3"/>
  <c r="B272" i="3" l="1"/>
  <c r="A272" i="3"/>
  <c r="C280" i="3"/>
  <c r="E279" i="3"/>
  <c r="C281" i="3" l="1"/>
  <c r="E280" i="3"/>
  <c r="B273" i="3"/>
  <c r="A273" i="3"/>
  <c r="B274" i="3" l="1"/>
  <c r="A274" i="3"/>
  <c r="E281" i="3"/>
  <c r="C282" i="3"/>
  <c r="E282" i="3" l="1"/>
  <c r="C283" i="3"/>
  <c r="A275" i="3"/>
  <c r="B275" i="3"/>
  <c r="B276" i="3" l="1"/>
  <c r="A276" i="3"/>
  <c r="C284" i="3"/>
  <c r="E283" i="3"/>
  <c r="E284" i="3" l="1"/>
  <c r="C285" i="3"/>
  <c r="A277" i="3"/>
  <c r="B277" i="3"/>
  <c r="A278" i="3" l="1"/>
  <c r="B278" i="3"/>
  <c r="E285" i="3"/>
  <c r="C286" i="3"/>
  <c r="E286" i="3" l="1"/>
  <c r="C287" i="3"/>
  <c r="A279" i="3"/>
  <c r="B279" i="3"/>
  <c r="B280" i="3" l="1"/>
  <c r="A280" i="3"/>
  <c r="C288" i="3"/>
  <c r="E287" i="3"/>
  <c r="E288" i="3" l="1"/>
  <c r="C289" i="3"/>
  <c r="B281" i="3"/>
  <c r="A281" i="3"/>
  <c r="A282" i="3" l="1"/>
  <c r="B282" i="3"/>
  <c r="E289" i="3"/>
  <c r="C290" i="3"/>
  <c r="E290" i="3" l="1"/>
  <c r="C291" i="3"/>
  <c r="A283" i="3"/>
  <c r="B283" i="3"/>
  <c r="B284" i="3" l="1"/>
  <c r="A284" i="3"/>
  <c r="E291" i="3"/>
  <c r="C292" i="3"/>
  <c r="E292" i="3" l="1"/>
  <c r="C293" i="3"/>
  <c r="A285" i="3"/>
  <c r="B285" i="3"/>
  <c r="B286" i="3" l="1"/>
  <c r="A286" i="3"/>
  <c r="E293" i="3"/>
  <c r="C294" i="3"/>
  <c r="E294" i="3" l="1"/>
  <c r="C295" i="3"/>
  <c r="E295" i="3" s="1"/>
  <c r="A287" i="3"/>
  <c r="B287" i="3"/>
  <c r="B288" i="3" l="1"/>
  <c r="A288" i="3"/>
  <c r="A289" i="3" l="1"/>
  <c r="B289" i="3"/>
  <c r="A290" i="3" l="1"/>
  <c r="B290" i="3"/>
  <c r="B291" i="3" l="1"/>
  <c r="A291" i="3"/>
  <c r="B292" i="3" l="1"/>
  <c r="A292" i="3"/>
  <c r="A293" i="3" l="1"/>
  <c r="B293" i="3"/>
  <c r="B294" i="3" l="1"/>
  <c r="A294" i="3"/>
  <c r="B295" i="3" l="1"/>
  <c r="A295" i="3"/>
  <c r="C38" i="7" l="1"/>
  <c r="G38" i="7" s="1"/>
  <c r="G11" i="7"/>
  <c r="K11" i="7" s="1"/>
  <c r="F10" i="7"/>
  <c r="J10" i="7" s="1"/>
  <c r="B37" i="7"/>
  <c r="F37" i="7" s="1"/>
  <c r="G10" i="7"/>
  <c r="K10" i="7" s="1"/>
  <c r="K23" i="7" s="1"/>
  <c r="J23" i="7" s="1"/>
  <c r="G20" i="7"/>
  <c r="F20" i="7" s="1"/>
  <c r="G37" i="7"/>
  <c r="G46" i="7" s="1"/>
  <c r="F46" i="7" s="1"/>
  <c r="C23" i="7"/>
  <c r="B23" i="7" s="1"/>
  <c r="C47" i="7" l="1"/>
  <c r="B47" i="7" s="1"/>
  <c r="J2" i="4"/>
  <c r="J5" i="4" s="1"/>
  <c r="F41" i="7"/>
  <c r="J64" i="4" l="1"/>
  <c r="J60" i="4"/>
  <c r="J52" i="4"/>
  <c r="J36" i="4"/>
  <c r="J12" i="4"/>
  <c r="J21" i="4"/>
  <c r="J67" i="4"/>
  <c r="J59" i="4"/>
  <c r="J55" i="4"/>
  <c r="J42" i="4"/>
  <c r="J34" i="4"/>
  <c r="J18" i="4"/>
  <c r="J51" i="4"/>
  <c r="J27" i="4"/>
  <c r="J66" i="4"/>
  <c r="J62" i="4"/>
  <c r="J58" i="4"/>
  <c r="J53" i="4"/>
  <c r="J48" i="4"/>
  <c r="J40" i="4"/>
  <c r="J32" i="4"/>
  <c r="J20" i="4"/>
  <c r="J4" i="4"/>
  <c r="J33" i="4"/>
  <c r="J9" i="4"/>
  <c r="J65" i="4"/>
  <c r="J61" i="4"/>
  <c r="J57" i="4"/>
  <c r="J54" i="4"/>
  <c r="J46" i="4"/>
  <c r="J38" i="4"/>
  <c r="J30" i="4"/>
  <c r="J22" i="4"/>
  <c r="J14" i="4"/>
  <c r="J6" i="4"/>
  <c r="J47" i="4"/>
  <c r="J39" i="4"/>
  <c r="J31" i="4"/>
  <c r="J23" i="4"/>
  <c r="J15" i="4"/>
  <c r="J7" i="4"/>
  <c r="J16" i="4"/>
  <c r="J49" i="4"/>
  <c r="J37" i="4"/>
  <c r="J25" i="4"/>
  <c r="J13" i="4"/>
  <c r="J3" i="4"/>
  <c r="C41" i="7" s="1"/>
  <c r="J56" i="4"/>
  <c r="J44" i="4"/>
  <c r="J28" i="4"/>
  <c r="J41" i="4"/>
  <c r="J63" i="4"/>
  <c r="J50" i="4"/>
  <c r="J26" i="4"/>
  <c r="J10" i="4"/>
  <c r="J43" i="4"/>
  <c r="J35" i="4"/>
  <c r="J19" i="4"/>
  <c r="J11" i="4"/>
  <c r="J24" i="4"/>
  <c r="J8" i="4"/>
  <c r="J45" i="4"/>
  <c r="J29" i="4"/>
  <c r="J17" i="4"/>
  <c r="G41" i="7" l="1"/>
  <c r="K2" i="4"/>
  <c r="K67" i="4" s="1"/>
  <c r="F42" i="7"/>
  <c r="K6" i="4" l="1"/>
  <c r="K14" i="4"/>
  <c r="K22" i="4"/>
  <c r="K30" i="4"/>
  <c r="K34" i="4"/>
  <c r="K42" i="4"/>
  <c r="K46" i="4"/>
  <c r="K25" i="4"/>
  <c r="K35" i="4"/>
  <c r="K45" i="4"/>
  <c r="K5" i="4"/>
  <c r="K13" i="4"/>
  <c r="K4" i="4"/>
  <c r="K8" i="4"/>
  <c r="K12" i="4"/>
  <c r="K16" i="4"/>
  <c r="K20" i="4"/>
  <c r="K24" i="4"/>
  <c r="K28" i="4"/>
  <c r="K32" i="4"/>
  <c r="K36" i="4"/>
  <c r="K40" i="4"/>
  <c r="K44" i="4"/>
  <c r="K48" i="4"/>
  <c r="K21" i="4"/>
  <c r="K27" i="4"/>
  <c r="K31" i="4"/>
  <c r="K37" i="4"/>
  <c r="K43" i="4"/>
  <c r="K47" i="4"/>
  <c r="K51" i="4"/>
  <c r="K7" i="4"/>
  <c r="K11" i="4"/>
  <c r="K15" i="4"/>
  <c r="K19" i="4"/>
  <c r="K33" i="4"/>
  <c r="K52" i="4"/>
  <c r="K53" i="4"/>
  <c r="K56" i="4"/>
  <c r="K58" i="4"/>
  <c r="K60" i="4"/>
  <c r="K62" i="4"/>
  <c r="K64" i="4"/>
  <c r="K66" i="4"/>
  <c r="K3" i="4"/>
  <c r="C42" i="7" s="1"/>
  <c r="K10" i="4"/>
  <c r="K18" i="4"/>
  <c r="K26" i="4"/>
  <c r="K38" i="4"/>
  <c r="K50" i="4"/>
  <c r="K29" i="4"/>
  <c r="K39" i="4"/>
  <c r="K49" i="4"/>
  <c r="K9" i="4"/>
  <c r="K17" i="4"/>
  <c r="K23" i="4"/>
  <c r="K41" i="4"/>
  <c r="K54" i="4"/>
  <c r="K55" i="4"/>
  <c r="K57" i="4"/>
  <c r="K59" i="4"/>
  <c r="K61" i="4"/>
  <c r="K63" i="4"/>
  <c r="K65" i="4"/>
  <c r="G42" i="7" l="1"/>
  <c r="F47" i="7" s="1"/>
  <c r="G47" i="7" s="1"/>
  <c r="B48" i="7"/>
  <c r="C48" i="7" s="1"/>
</calcChain>
</file>

<file path=xl/sharedStrings.xml><?xml version="1.0" encoding="utf-8"?>
<sst xmlns="http://schemas.openxmlformats.org/spreadsheetml/2006/main" count="158" uniqueCount="59">
  <si>
    <t>Jahresabschluss</t>
  </si>
  <si>
    <t>Buchhaltung</t>
  </si>
  <si>
    <t>Ersteinrichtungsgebühr</t>
  </si>
  <si>
    <t>Bilanzsumme</t>
  </si>
  <si>
    <t>Jahresumsatz (netto)</t>
  </si>
  <si>
    <t>Jahresgewinn (Schätzung)</t>
  </si>
  <si>
    <t>mtl. Buchhaltung</t>
  </si>
  <si>
    <t>Digitalpaket</t>
  </si>
  <si>
    <t>Ihre Investition</t>
  </si>
  <si>
    <t>Jahr</t>
  </si>
  <si>
    <t>mtl. VZ</t>
  </si>
  <si>
    <t>volle Gebühr</t>
  </si>
  <si>
    <t>Anhang</t>
  </si>
  <si>
    <t>Voller-Satz</t>
  </si>
  <si>
    <r>
      <t xml:space="preserve">§ 35 (1) Nr. 1a JA </t>
    </r>
    <r>
      <rPr>
        <b/>
        <sz val="11"/>
        <color theme="5" tint="-0.249977111117893"/>
        <rFont val="Calibri"/>
        <family val="2"/>
        <scheme val="minor"/>
      </rPr>
      <t>(25,0/10)</t>
    </r>
  </si>
  <si>
    <r>
      <t xml:space="preserve">§ 35 (1) Nr. 1b Anhang </t>
    </r>
    <r>
      <rPr>
        <b/>
        <sz val="11"/>
        <color theme="5" tint="-0.249977111117893"/>
        <rFont val="Calibri"/>
        <family val="2"/>
        <scheme val="minor"/>
      </rPr>
      <t>(7,0/10)</t>
    </r>
  </si>
  <si>
    <t>Gegenstandswert</t>
  </si>
  <si>
    <r>
      <t xml:space="preserve">§ 24 (1) Nr. 8 (UST)  </t>
    </r>
    <r>
      <rPr>
        <b/>
        <sz val="11"/>
        <color theme="5" tint="-0.249977111117893"/>
        <rFont val="Calibri"/>
        <family val="2"/>
        <scheme val="minor"/>
      </rPr>
      <t>(2/10)</t>
    </r>
  </si>
  <si>
    <r>
      <t xml:space="preserve">§ 24 (1) Nr. 5 (GewSt)  </t>
    </r>
    <r>
      <rPr>
        <b/>
        <sz val="11"/>
        <color theme="5" tint="-0.249977111117893"/>
        <rFont val="Calibri"/>
        <family val="2"/>
        <scheme val="minor"/>
      </rPr>
      <t>(2/10)</t>
    </r>
  </si>
  <si>
    <r>
      <t xml:space="preserve">§ 24 (1) Nr. 3 (KSt)  </t>
    </r>
    <r>
      <rPr>
        <b/>
        <sz val="11"/>
        <color theme="5" tint="-0.249977111117893"/>
        <rFont val="Calibri"/>
        <family val="2"/>
        <scheme val="minor"/>
      </rPr>
      <t>(1/10)</t>
    </r>
  </si>
  <si>
    <t>Zehntel</t>
  </si>
  <si>
    <t>Fibu</t>
  </si>
  <si>
    <t>Bundesanzeiger</t>
  </si>
  <si>
    <t>Auslagen</t>
  </si>
  <si>
    <t>JA</t>
  </si>
  <si>
    <r>
      <t xml:space="preserve">§ 24 (1) Nr. 2 (G+E)  </t>
    </r>
    <r>
      <rPr>
        <b/>
        <sz val="11"/>
        <color theme="5" tint="-0.249977111117893"/>
        <rFont val="Calibri"/>
        <family val="2"/>
        <scheme val="minor"/>
      </rPr>
      <t>(1/10)</t>
    </r>
  </si>
  <si>
    <t>einm. Leistungen</t>
  </si>
  <si>
    <t>KSt Erlärung</t>
  </si>
  <si>
    <t>GewSt Erklärung</t>
  </si>
  <si>
    <t>Prüf.StB</t>
  </si>
  <si>
    <t>USt Erklärung</t>
  </si>
  <si>
    <r>
      <t xml:space="preserve">§ 25 (1) EÜR  </t>
    </r>
    <r>
      <rPr>
        <b/>
        <sz val="11"/>
        <color theme="5" tint="-0.249977111117893"/>
        <rFont val="Calibri"/>
        <family val="2"/>
        <scheme val="minor"/>
      </rPr>
      <t>(12,5/10)</t>
    </r>
  </si>
  <si>
    <r>
      <t xml:space="preserve">§ 25 (4) EÜR  </t>
    </r>
    <r>
      <rPr>
        <b/>
        <sz val="11"/>
        <color theme="5" tint="-0.249977111117893"/>
        <rFont val="Calibri"/>
        <family val="2"/>
        <scheme val="minor"/>
      </rPr>
      <t>(7/10)</t>
    </r>
  </si>
  <si>
    <t>eBilanz</t>
  </si>
  <si>
    <t>pauschal</t>
  </si>
  <si>
    <t>Zehntelsätze</t>
  </si>
  <si>
    <t>Lohnbuchhaltung</t>
  </si>
  <si>
    <t>Monat/MA</t>
  </si>
  <si>
    <t>jeweils einmalig</t>
  </si>
  <si>
    <t>An-/Abmeldung</t>
  </si>
  <si>
    <t>Stundensatz</t>
  </si>
  <si>
    <t xml:space="preserve">BG Meldung </t>
  </si>
  <si>
    <t>einmal jährlich</t>
  </si>
  <si>
    <t>Teilnahme an LSt-BP</t>
  </si>
  <si>
    <t>Mitarbeiter</t>
  </si>
  <si>
    <t>Steuerberater</t>
  </si>
  <si>
    <t>Gewinnmarge in %</t>
  </si>
  <si>
    <t>Freiberufler</t>
  </si>
  <si>
    <t>Kapitalgesellschaft (GmbH, UG)</t>
  </si>
  <si>
    <t>Gewerbetreibende (Bilanz)</t>
  </si>
  <si>
    <t>Kommanditsgesellschaft (KG, GmbH &amp; Co. KG)</t>
  </si>
  <si>
    <t>Feststellungserklärung</t>
  </si>
  <si>
    <t>Einnahmeüberschussrg.</t>
  </si>
  <si>
    <t>Gewerbetreibende</t>
  </si>
  <si>
    <t>schriftl. Erläuterungsbericht</t>
  </si>
  <si>
    <t>Bilanzierungspflichtige Mandenten</t>
  </si>
  <si>
    <t>nicht Bilanzierungspflichtige Mandanten</t>
  </si>
  <si>
    <t>Lohnabrechnugen</t>
  </si>
  <si>
    <t>Finanzbuchhaltugn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</si>
</sst>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-* #,##0.00\ [$€-407]_-;\-* #,##0.00\ [$€-407]_-;_-* &quot;-&quot;??\ [$€-407]_-;_-@_-"/>
    <numFmt numFmtId="166" formatCode="_-* #,##0\ &quot;€&quot;_-;\-* #,##0\ &quot;€&quot;_-;_-* &quot;-&quot;??\ &quot;€&quot;_-;_-@_-"/>
    <numFmt numFmtId="167" formatCode="_-* #,##0\ _€_-;\-* #,##0\ _€_-;_-* &quot;-&quot;??\ _€_-;_-@_-"/>
    <numFmt numFmtId="168" formatCode="_-* #,##0\ [$€-407]_-;\-* #,##0\ [$€-407]_-;_-* &quot;-&quot;??\ [$€-407]_-;_-@_-"/>
    <numFmt numFmtId="169" formatCode="#,##0.00_ ;\-#,##0.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5" tint="-0.249977111117893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color theme="0"/>
      <name val="Verdana"/>
      <family val="2"/>
    </font>
    <font>
      <sz val="12"/>
      <color theme="0"/>
      <name val="Verdana"/>
      <family val="2"/>
    </font>
    <font>
      <b/>
      <sz val="10"/>
      <color theme="1"/>
      <name val="Calibri"/>
      <family val="2"/>
      <scheme val="minor"/>
    </font>
    <font>
      <sz val="10"/>
      <name val="Verdana"/>
      <family val="2"/>
    </font>
    <font>
      <sz val="10"/>
      <color theme="9" tint="-0.499984740745262"/>
      <name val="Verdana"/>
      <family val="2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3" fillId="2" borderId="1" xfId="0" applyFont="1" applyFill="1" applyBorder="1"/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3" borderId="1" xfId="0" applyFont="1" applyFill="1" applyBorder="1"/>
    <xf numFmtId="165" fontId="3" fillId="3" borderId="1" xfId="1" applyNumberFormat="1" applyFont="1" applyFill="1" applyBorder="1" applyAlignment="1">
      <alignment horizontal="right"/>
    </xf>
    <xf numFmtId="0" fontId="2" fillId="5" borderId="0" xfId="0" applyFont="1" applyFill="1" applyAlignment="1">
      <alignment horizontal="center" wrapText="1"/>
    </xf>
    <xf numFmtId="165" fontId="0" fillId="5" borderId="0" xfId="1" applyNumberFormat="1" applyFont="1" applyFill="1" applyBorder="1" applyAlignment="1">
      <alignment horizontal="center"/>
    </xf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horizontal="center" wrapText="1"/>
    </xf>
    <xf numFmtId="168" fontId="0" fillId="3" borderId="0" xfId="0" applyNumberFormat="1" applyFill="1" applyAlignment="1">
      <alignment horizontal="center" wrapText="1"/>
    </xf>
    <xf numFmtId="168" fontId="0" fillId="3" borderId="0" xfId="0" applyNumberFormat="1" applyFill="1" applyAlignment="1">
      <alignment wrapText="1"/>
    </xf>
    <xf numFmtId="168" fontId="0" fillId="3" borderId="0" xfId="1" applyNumberFormat="1" applyFont="1" applyFill="1" applyBorder="1"/>
    <xf numFmtId="168" fontId="0" fillId="3" borderId="0" xfId="0" applyNumberFormat="1" applyFill="1"/>
    <xf numFmtId="168" fontId="0" fillId="3" borderId="2" xfId="1" applyNumberFormat="1" applyFont="1" applyFill="1" applyBorder="1" applyAlignment="1">
      <alignment horizontal="center"/>
    </xf>
    <xf numFmtId="165" fontId="0" fillId="5" borderId="0" xfId="0" applyNumberFormat="1" applyFill="1"/>
    <xf numFmtId="168" fontId="0" fillId="3" borderId="0" xfId="1" applyNumberFormat="1" applyFont="1" applyFill="1" applyBorder="1" applyAlignment="1">
      <alignment horizontal="center"/>
    </xf>
    <xf numFmtId="165" fontId="3" fillId="0" borderId="0" xfId="0" applyNumberFormat="1" applyFont="1" applyAlignment="1">
      <alignment horizontal="right"/>
    </xf>
    <xf numFmtId="2" fontId="0" fillId="0" borderId="0" xfId="0" applyNumberFormat="1"/>
    <xf numFmtId="0" fontId="8" fillId="0" borderId="0" xfId="0" applyFont="1"/>
    <xf numFmtId="0" fontId="9" fillId="7" borderId="4" xfId="0" applyFont="1" applyFill="1" applyBorder="1" applyAlignment="1">
      <alignment wrapText="1"/>
    </xf>
    <xf numFmtId="0" fontId="9" fillId="8" borderId="4" xfId="0" applyFont="1" applyFill="1" applyBorder="1" applyAlignment="1">
      <alignment horizontal="center"/>
    </xf>
    <xf numFmtId="166" fontId="8" fillId="7" borderId="0" xfId="0" applyNumberFormat="1" applyFont="1" applyFill="1"/>
    <xf numFmtId="165" fontId="8" fillId="7" borderId="0" xfId="0" applyNumberFormat="1" applyFont="1" applyFill="1"/>
    <xf numFmtId="0" fontId="8" fillId="9" borderId="0" xfId="0" applyFont="1" applyFill="1" applyAlignment="1">
      <alignment horizontal="center"/>
    </xf>
    <xf numFmtId="165" fontId="8" fillId="8" borderId="0" xfId="0" applyNumberFormat="1" applyFont="1" applyFill="1"/>
    <xf numFmtId="0" fontId="8" fillId="10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166" fontId="8" fillId="0" borderId="0" xfId="0" applyNumberFormat="1" applyFont="1"/>
    <xf numFmtId="165" fontId="8" fillId="0" borderId="0" xfId="0" applyNumberFormat="1" applyFont="1"/>
    <xf numFmtId="167" fontId="8" fillId="0" borderId="0" xfId="0" applyNumberFormat="1" applyFont="1"/>
    <xf numFmtId="165" fontId="8" fillId="0" borderId="0" xfId="0" applyNumberFormat="1" applyFont="1" applyAlignment="1">
      <alignment horizontal="center"/>
    </xf>
    <xf numFmtId="166" fontId="8" fillId="3" borderId="0" xfId="0" applyNumberFormat="1" applyFont="1" applyFill="1"/>
    <xf numFmtId="165" fontId="8" fillId="3" borderId="0" xfId="0" applyNumberFormat="1" applyFont="1" applyFill="1"/>
    <xf numFmtId="165" fontId="0" fillId="0" borderId="0" xfId="0" applyNumberFormat="1"/>
    <xf numFmtId="164" fontId="0" fillId="0" borderId="0" xfId="1" applyFont="1"/>
    <xf numFmtId="164" fontId="0" fillId="0" borderId="0" xfId="0" applyNumberFormat="1"/>
    <xf numFmtId="165" fontId="6" fillId="3" borderId="1" xfId="1" applyNumberFormat="1" applyFont="1" applyFill="1" applyBorder="1" applyAlignment="1">
      <alignment horizontal="right"/>
    </xf>
    <xf numFmtId="165" fontId="10" fillId="0" borderId="0" xfId="0" applyNumberFormat="1" applyFont="1"/>
    <xf numFmtId="0" fontId="12" fillId="2" borderId="1" xfId="0" applyFont="1" applyFill="1" applyBorder="1" applyAlignment="1">
      <alignment horizontal="left" vertical="center"/>
    </xf>
    <xf numFmtId="165" fontId="13" fillId="0" borderId="0" xfId="0" applyNumberFormat="1" applyFont="1"/>
    <xf numFmtId="168" fontId="0" fillId="0" borderId="0" xfId="0" applyNumberFormat="1"/>
    <xf numFmtId="165" fontId="3" fillId="3" borderId="1" xfId="0" applyNumberFormat="1" applyFont="1" applyFill="1" applyBorder="1" applyAlignment="1">
      <alignment horizontal="center"/>
    </xf>
    <xf numFmtId="165" fontId="3" fillId="2" borderId="1" xfId="1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center" vertical="center"/>
    </xf>
    <xf numFmtId="165" fontId="0" fillId="4" borderId="1" xfId="1" applyNumberFormat="1" applyFont="1" applyFill="1" applyBorder="1" applyAlignment="1">
      <alignment horizontal="right" vertical="center"/>
    </xf>
    <xf numFmtId="165" fontId="0" fillId="3" borderId="1" xfId="1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left" vertical="center" wrapText="1"/>
    </xf>
    <xf numFmtId="0" fontId="3" fillId="3" borderId="1" xfId="0" quotePrefix="1" applyFont="1" applyFill="1" applyBorder="1"/>
    <xf numFmtId="8" fontId="3" fillId="3" borderId="1" xfId="0" applyNumberFormat="1" applyFont="1" applyFill="1" applyBorder="1"/>
    <xf numFmtId="9" fontId="3" fillId="3" borderId="1" xfId="0" applyNumberFormat="1" applyFont="1" applyFill="1" applyBorder="1" applyAlignment="1">
      <alignment wrapText="1"/>
    </xf>
    <xf numFmtId="2" fontId="3" fillId="3" borderId="1" xfId="1" applyNumberFormat="1" applyFont="1" applyFill="1" applyBorder="1" applyAlignment="1">
      <alignment horizontal="center"/>
    </xf>
    <xf numFmtId="0" fontId="5" fillId="3" borderId="1" xfId="0" applyFont="1" applyFill="1" applyBorder="1"/>
    <xf numFmtId="0" fontId="3" fillId="3" borderId="1" xfId="0" applyFont="1" applyFill="1" applyBorder="1" applyAlignment="1"/>
    <xf numFmtId="0" fontId="3" fillId="0" borderId="0" xfId="0" applyFont="1" applyAlignment="1"/>
    <xf numFmtId="0" fontId="3" fillId="2" borderId="1" xfId="0" applyFont="1" applyFill="1" applyBorder="1" applyAlignment="1"/>
    <xf numFmtId="0" fontId="12" fillId="0" borderId="0" xfId="0" applyFont="1" applyFill="1" applyBorder="1"/>
    <xf numFmtId="0" fontId="3" fillId="0" borderId="0" xfId="0" applyFont="1" applyFill="1" applyBorder="1"/>
    <xf numFmtId="165" fontId="11" fillId="0" borderId="0" xfId="1" applyNumberFormat="1" applyFont="1" applyFill="1" applyBorder="1" applyAlignment="1">
      <alignment horizontal="right"/>
    </xf>
    <xf numFmtId="0" fontId="0" fillId="0" borderId="0" xfId="0" applyFill="1" applyBorder="1"/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wrapText="1"/>
    </xf>
    <xf numFmtId="168" fontId="4" fillId="0" borderId="0" xfId="1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left" vertical="center"/>
    </xf>
    <xf numFmtId="9" fontId="3" fillId="0" borderId="0" xfId="0" applyNumberFormat="1" applyFont="1" applyFill="1" applyBorder="1" applyAlignment="1">
      <alignment wrapText="1"/>
    </xf>
    <xf numFmtId="9" fontId="4" fillId="0" borderId="0" xfId="2" applyFont="1" applyFill="1" applyBorder="1" applyAlignment="1">
      <alignment horizontal="right"/>
    </xf>
    <xf numFmtId="9" fontId="3" fillId="0" borderId="0" xfId="0" applyNumberFormat="1" applyFont="1" applyFill="1" applyBorder="1" applyAlignment="1"/>
    <xf numFmtId="169" fontId="14" fillId="4" borderId="1" xfId="0" applyNumberFormat="1" applyFont="1" applyFill="1" applyBorder="1" applyAlignment="1">
      <alignment horizontal="center"/>
    </xf>
    <xf numFmtId="169" fontId="3" fillId="4" borderId="1" xfId="0" applyNumberFormat="1" applyFont="1" applyFill="1" applyBorder="1" applyAlignment="1">
      <alignment horizontal="center"/>
    </xf>
    <xf numFmtId="0" fontId="14" fillId="3" borderId="1" xfId="0" applyFont="1" applyFill="1" applyBorder="1" applyAlignment="1"/>
    <xf numFmtId="165" fontId="3" fillId="3" borderId="1" xfId="1" quotePrefix="1" applyNumberFormat="1" applyFont="1" applyFill="1" applyBorder="1" applyAlignment="1">
      <alignment horizontal="right"/>
    </xf>
    <xf numFmtId="165" fontId="3" fillId="3" borderId="1" xfId="1" applyNumberFormat="1" applyFont="1" applyFill="1" applyBorder="1"/>
    <xf numFmtId="169" fontId="3" fillId="3" borderId="1" xfId="0" applyNumberFormat="1" applyFont="1" applyFill="1" applyBorder="1" applyAlignment="1">
      <alignment horizontal="center"/>
    </xf>
    <xf numFmtId="165" fontId="3" fillId="0" borderId="0" xfId="0" applyNumberFormat="1" applyFont="1"/>
    <xf numFmtId="2" fontId="17" fillId="4" borderId="0" xfId="0" applyNumberFormat="1" applyFont="1" applyFill="1" applyAlignment="1">
      <alignment horizontal="center" wrapText="1"/>
    </xf>
    <xf numFmtId="168" fontId="5" fillId="3" borderId="1" xfId="1" applyNumberFormat="1" applyFont="1" applyFill="1" applyBorder="1" applyAlignment="1">
      <alignment horizontal="right"/>
    </xf>
    <xf numFmtId="168" fontId="4" fillId="13" borderId="1" xfId="1" applyNumberFormat="1" applyFont="1" applyFill="1" applyBorder="1" applyAlignment="1">
      <alignment horizontal="right"/>
    </xf>
    <xf numFmtId="9" fontId="4" fillId="13" borderId="1" xfId="2" applyFont="1" applyFill="1" applyBorder="1" applyAlignment="1">
      <alignment horizontal="right"/>
    </xf>
    <xf numFmtId="0" fontId="3" fillId="14" borderId="1" xfId="0" applyFont="1" applyFill="1" applyBorder="1"/>
    <xf numFmtId="165" fontId="3" fillId="14" borderId="1" xfId="0" applyNumberFormat="1" applyFont="1" applyFill="1" applyBorder="1" applyAlignment="1">
      <alignment horizontal="left"/>
    </xf>
    <xf numFmtId="0" fontId="5" fillId="14" borderId="1" xfId="0" applyFont="1" applyFill="1" applyBorder="1" applyAlignment="1">
      <alignment horizontal="left" vertical="center"/>
    </xf>
    <xf numFmtId="165" fontId="5" fillId="14" borderId="1" xfId="0" applyNumberFormat="1" applyFont="1" applyFill="1" applyBorder="1" applyAlignment="1">
      <alignment horizontal="center"/>
    </xf>
    <xf numFmtId="165" fontId="5" fillId="14" borderId="1" xfId="1" applyNumberFormat="1" applyFont="1" applyFill="1" applyBorder="1" applyAlignment="1">
      <alignment horizontal="center"/>
    </xf>
    <xf numFmtId="0" fontId="15" fillId="0" borderId="0" xfId="0" applyFont="1" applyFill="1"/>
    <xf numFmtId="165" fontId="15" fillId="0" borderId="0" xfId="0" applyNumberFormat="1" applyFont="1" applyFill="1"/>
    <xf numFmtId="165" fontId="15" fillId="0" borderId="0" xfId="0" applyNumberFormat="1" applyFont="1" applyFill="1" applyAlignment="1">
      <alignment horizontal="right"/>
    </xf>
    <xf numFmtId="0" fontId="16" fillId="0" borderId="0" xfId="0" applyFont="1" applyFill="1"/>
    <xf numFmtId="0" fontId="15" fillId="0" borderId="0" xfId="0" applyFont="1" applyFill="1" applyAlignment="1">
      <alignment horizontal="right"/>
    </xf>
    <xf numFmtId="0" fontId="3" fillId="0" borderId="0" xfId="0" applyFont="1" applyFill="1"/>
    <xf numFmtId="0" fontId="0" fillId="0" borderId="0" xfId="0" applyFill="1"/>
    <xf numFmtId="0" fontId="15" fillId="12" borderId="0" xfId="0" applyFont="1" applyFill="1"/>
    <xf numFmtId="165" fontId="15" fillId="12" borderId="0" xfId="0" applyNumberFormat="1" applyFont="1" applyFill="1"/>
    <xf numFmtId="165" fontId="15" fillId="12" borderId="0" xfId="0" applyNumberFormat="1" applyFont="1" applyFill="1" applyAlignment="1">
      <alignment horizontal="right"/>
    </xf>
    <xf numFmtId="0" fontId="16" fillId="12" borderId="0" xfId="0" applyFont="1" applyFill="1"/>
    <xf numFmtId="0" fontId="15" fillId="12" borderId="0" xfId="0" applyFont="1" applyFill="1" applyAlignment="1">
      <alignment horizontal="right"/>
    </xf>
    <xf numFmtId="0" fontId="12" fillId="15" borderId="1" xfId="0" applyFont="1" applyFill="1" applyBorder="1" applyAlignment="1">
      <alignment horizontal="left" vertical="center"/>
    </xf>
    <xf numFmtId="0" fontId="3" fillId="15" borderId="1" xfId="0" applyFont="1" applyFill="1" applyBorder="1"/>
    <xf numFmtId="165" fontId="11" fillId="15" borderId="1" xfId="1" applyNumberFormat="1" applyFont="1" applyFill="1" applyBorder="1" applyAlignment="1">
      <alignment horizontal="right"/>
    </xf>
    <xf numFmtId="0" fontId="12" fillId="15" borderId="0" xfId="0" applyFont="1" applyFill="1"/>
    <xf numFmtId="0" fontId="12" fillId="15" borderId="0" xfId="0" applyFont="1" applyFill="1" applyBorder="1" applyAlignment="1">
      <alignment horizontal="left" vertical="center"/>
    </xf>
    <xf numFmtId="0" fontId="12" fillId="15" borderId="5" xfId="0" applyFont="1" applyFill="1" applyBorder="1" applyAlignment="1">
      <alignment horizontal="left" vertical="center"/>
    </xf>
    <xf numFmtId="0" fontId="4" fillId="15" borderId="1" xfId="0" applyFont="1" applyFill="1" applyBorder="1" applyAlignment="1">
      <alignment horizontal="left" vertical="center"/>
    </xf>
    <xf numFmtId="165" fontId="4" fillId="15" borderId="1" xfId="1" applyNumberFormat="1" applyFont="1" applyFill="1" applyBorder="1" applyAlignment="1">
      <alignment horizontal="center"/>
    </xf>
    <xf numFmtId="0" fontId="11" fillId="15" borderId="1" xfId="0" applyFont="1" applyFill="1" applyBorder="1"/>
    <xf numFmtId="0" fontId="11" fillId="15" borderId="1" xfId="0" applyFont="1" applyFill="1" applyBorder="1" applyAlignment="1"/>
    <xf numFmtId="165" fontId="11" fillId="13" borderId="1" xfId="1" applyNumberFormat="1" applyFont="1" applyFill="1" applyBorder="1" applyAlignment="1">
      <alignment horizontal="right"/>
    </xf>
    <xf numFmtId="0" fontId="3" fillId="3" borderId="5" xfId="0" applyFont="1" applyFill="1" applyBorder="1"/>
    <xf numFmtId="165" fontId="3" fillId="3" borderId="5" xfId="1" quotePrefix="1" applyNumberFormat="1" applyFont="1" applyFill="1" applyBorder="1" applyAlignment="1">
      <alignment horizontal="right"/>
    </xf>
    <xf numFmtId="165" fontId="3" fillId="3" borderId="5" xfId="1" applyNumberFormat="1" applyFont="1" applyFill="1" applyBorder="1"/>
    <xf numFmtId="0" fontId="3" fillId="0" borderId="0" xfId="0" applyFont="1" applyBorder="1"/>
    <xf numFmtId="0" fontId="3" fillId="0" borderId="4" xfId="0" applyFont="1" applyFill="1" applyBorder="1"/>
    <xf numFmtId="8" fontId="3" fillId="0" borderId="4" xfId="0" quotePrefix="1" applyNumberFormat="1" applyFont="1" applyFill="1" applyBorder="1" applyAlignment="1">
      <alignment horizontal="right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2" fillId="3" borderId="0" xfId="0" applyFont="1" applyFill="1" applyAlignment="1">
      <alignment horizontal="center" wrapText="1"/>
    </xf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colors>
    <mruColors>
      <color rgb="FFB818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F3C6-15BF-41DD-97B3-D6B0D5502AE8}">
  <dimension ref="A1:P49"/>
  <sheetViews>
    <sheetView tabSelected="1" workbookViewId="0">
      <selection activeCell="B38" sqref="B38"/>
    </sheetView>
  </sheetViews>
  <sheetFormatPr baseColWidth="10" defaultRowHeight="15" x14ac:dyDescent="0.25"/>
  <cols>
    <col min="1" max="1" width="28.42578125" style="4" customWidth="1"/>
    <col min="2" max="2" width="14.42578125" style="4" bestFit="1" customWidth="1"/>
    <col min="3" max="3" width="15.42578125" style="5" bestFit="1" customWidth="1"/>
    <col min="4" max="4" width="5.7109375" customWidth="1"/>
    <col min="5" max="5" width="27.28515625" style="4" customWidth="1"/>
    <col min="6" max="6" width="13.28515625" style="4" bestFit="1" customWidth="1"/>
    <col min="7" max="7" width="11.28515625" style="5" bestFit="1" customWidth="1"/>
    <col min="8" max="8" width="5.7109375" customWidth="1"/>
    <col min="9" max="9" width="29.140625" customWidth="1"/>
    <col min="10" max="10" width="18.7109375" customWidth="1"/>
    <col min="11" max="11" width="13.140625" bestFit="1" customWidth="1"/>
    <col min="12" max="12" width="5.7109375" customWidth="1"/>
    <col min="13" max="13" width="23.28515625" bestFit="1" customWidth="1"/>
    <col min="14" max="14" width="20.7109375" bestFit="1" customWidth="1"/>
    <col min="15" max="15" width="11.28515625" bestFit="1" customWidth="1"/>
    <col min="16" max="16" width="13" bestFit="1" customWidth="1"/>
  </cols>
  <sheetData>
    <row r="1" spans="1:16" ht="15.75" x14ac:dyDescent="0.25">
      <c r="A1" s="100" t="s">
        <v>55</v>
      </c>
      <c r="B1" s="101"/>
      <c r="C1" s="102"/>
      <c r="D1" s="63"/>
      <c r="E1" s="60"/>
      <c r="F1" s="61"/>
      <c r="G1" s="62"/>
      <c r="H1" s="63"/>
      <c r="I1" s="68"/>
      <c r="J1" s="71"/>
      <c r="K1" s="62"/>
      <c r="L1" s="63"/>
    </row>
    <row r="2" spans="1:16" x14ac:dyDescent="0.25">
      <c r="A2" s="51" t="s">
        <v>3</v>
      </c>
      <c r="B2" s="2"/>
      <c r="C2" s="81">
        <v>0</v>
      </c>
      <c r="D2" s="63"/>
      <c r="E2" s="65"/>
      <c r="F2" s="66"/>
      <c r="G2" s="67"/>
      <c r="H2" s="63"/>
      <c r="I2" s="68"/>
      <c r="J2" s="71"/>
      <c r="K2" s="67"/>
      <c r="L2" s="63"/>
      <c r="O2" s="39"/>
      <c r="P2" s="39"/>
    </row>
    <row r="3" spans="1:16" x14ac:dyDescent="0.25">
      <c r="A3" s="51" t="s">
        <v>4</v>
      </c>
      <c r="B3" s="2"/>
      <c r="C3" s="81">
        <v>0</v>
      </c>
      <c r="D3" s="63"/>
      <c r="E3" s="65"/>
      <c r="F3" s="66"/>
      <c r="G3" s="67"/>
      <c r="H3" s="63"/>
      <c r="I3" s="68"/>
      <c r="J3" s="71"/>
      <c r="K3" s="67"/>
      <c r="L3" s="63"/>
      <c r="N3" s="39"/>
      <c r="O3" s="39"/>
      <c r="P3" s="39"/>
    </row>
    <row r="4" spans="1:16" x14ac:dyDescent="0.25">
      <c r="A4" s="3" t="s">
        <v>46</v>
      </c>
      <c r="B4" s="54"/>
      <c r="C4" s="82">
        <v>0</v>
      </c>
      <c r="D4" s="63"/>
      <c r="E4" s="68"/>
      <c r="F4" s="69"/>
      <c r="G4" s="70"/>
      <c r="H4" s="63"/>
      <c r="I4" s="68"/>
      <c r="J4" s="71"/>
      <c r="K4" s="70"/>
      <c r="L4" s="63"/>
      <c r="N4" s="39"/>
      <c r="O4" s="39"/>
      <c r="P4" s="39"/>
    </row>
    <row r="5" spans="1:16" x14ac:dyDescent="0.25">
      <c r="A5" s="3" t="s">
        <v>5</v>
      </c>
      <c r="B5" s="2"/>
      <c r="C5" s="80">
        <f>C3*C4</f>
        <v>0</v>
      </c>
      <c r="D5" s="63"/>
      <c r="E5" s="68"/>
      <c r="F5" s="66"/>
      <c r="G5" s="67"/>
      <c r="H5" s="63"/>
      <c r="I5" s="68"/>
      <c r="J5" s="64"/>
      <c r="K5" s="67"/>
      <c r="L5" s="63"/>
      <c r="N5" s="40"/>
      <c r="O5" s="40"/>
      <c r="P5" s="40"/>
    </row>
    <row r="6" spans="1:16" x14ac:dyDescent="0.25">
      <c r="I6" s="58"/>
      <c r="J6" s="58"/>
      <c r="K6" s="5"/>
      <c r="N6" s="39"/>
      <c r="O6" s="39"/>
      <c r="P6" s="39"/>
    </row>
    <row r="7" spans="1:16" x14ac:dyDescent="0.25">
      <c r="I7" s="58"/>
      <c r="J7" s="58"/>
      <c r="K7" s="5"/>
      <c r="N7" s="40"/>
      <c r="O7" s="40"/>
      <c r="P7" s="40"/>
    </row>
    <row r="8" spans="1:16" ht="15.75" x14ac:dyDescent="0.25">
      <c r="A8" s="100" t="s">
        <v>48</v>
      </c>
      <c r="B8" s="101"/>
      <c r="C8" s="102"/>
      <c r="E8" s="103" t="s">
        <v>49</v>
      </c>
      <c r="F8" s="108"/>
      <c r="G8" s="102"/>
      <c r="I8" s="104" t="s">
        <v>50</v>
      </c>
      <c r="J8" s="109"/>
      <c r="K8" s="102"/>
      <c r="M8" s="105" t="s">
        <v>36</v>
      </c>
      <c r="N8" s="108"/>
      <c r="O8" s="102"/>
      <c r="P8" s="40"/>
    </row>
    <row r="9" spans="1:16" x14ac:dyDescent="0.25">
      <c r="A9" s="43" t="s">
        <v>1</v>
      </c>
      <c r="B9" s="1"/>
      <c r="C9" s="47"/>
      <c r="E9" s="43" t="s">
        <v>1</v>
      </c>
      <c r="F9" s="1"/>
      <c r="G9" s="47"/>
      <c r="I9" s="43" t="s">
        <v>1</v>
      </c>
      <c r="J9" s="59"/>
      <c r="K9" s="47"/>
      <c r="M9" s="52" t="s">
        <v>57</v>
      </c>
      <c r="N9" s="6" t="s">
        <v>37</v>
      </c>
      <c r="O9" s="53">
        <v>18</v>
      </c>
      <c r="P9" s="40"/>
    </row>
    <row r="10" spans="1:16" x14ac:dyDescent="0.25">
      <c r="A10" s="6" t="s">
        <v>6</v>
      </c>
      <c r="B10" s="55">
        <f>LOOKUP($C$3,'Fibu Staffel Allgemein'!A2:A295,'Fibu Staffel Allgemein'!D2:D295)</f>
        <v>7</v>
      </c>
      <c r="C10" s="7">
        <f>LOOKUP($C$3,'Fibu Staffel Allgemein'!A2:A295,'Fibu Staffel Allgemein'!E2:E295)</f>
        <v>266.7</v>
      </c>
      <c r="D10" s="38"/>
      <c r="E10" s="6" t="s">
        <v>6</v>
      </c>
      <c r="F10" s="55">
        <f>B10</f>
        <v>7</v>
      </c>
      <c r="G10" s="7">
        <f>C10</f>
        <v>266.7</v>
      </c>
      <c r="H10" s="38"/>
      <c r="I10" s="57" t="s">
        <v>6</v>
      </c>
      <c r="J10" s="55">
        <f>F10</f>
        <v>7</v>
      </c>
      <c r="K10" s="7">
        <f>G10</f>
        <v>266.7</v>
      </c>
      <c r="L10" s="38"/>
      <c r="M10" s="6" t="s">
        <v>39</v>
      </c>
      <c r="N10" s="6" t="s">
        <v>38</v>
      </c>
      <c r="O10" s="53">
        <v>10</v>
      </c>
      <c r="P10" s="40"/>
    </row>
    <row r="11" spans="1:16" x14ac:dyDescent="0.25">
      <c r="A11" s="6" t="s">
        <v>23</v>
      </c>
      <c r="B11" s="41"/>
      <c r="C11" s="7">
        <v>20</v>
      </c>
      <c r="D11" s="38"/>
      <c r="E11" s="6" t="s">
        <v>23</v>
      </c>
      <c r="F11" s="41"/>
      <c r="G11" s="7">
        <f>C11</f>
        <v>20</v>
      </c>
      <c r="H11" s="38"/>
      <c r="I11" s="57" t="s">
        <v>23</v>
      </c>
      <c r="J11" s="41"/>
      <c r="K11" s="7">
        <f>G11</f>
        <v>20</v>
      </c>
      <c r="L11" s="38"/>
      <c r="M11" s="6" t="s">
        <v>41</v>
      </c>
      <c r="N11" s="6" t="s">
        <v>42</v>
      </c>
      <c r="O11" s="53">
        <v>69</v>
      </c>
      <c r="P11" s="40"/>
    </row>
    <row r="12" spans="1:16" x14ac:dyDescent="0.25">
      <c r="A12" s="6" t="s">
        <v>7</v>
      </c>
      <c r="B12" s="41"/>
      <c r="C12" s="7">
        <v>21.4</v>
      </c>
      <c r="D12" s="38"/>
      <c r="E12" s="6" t="s">
        <v>7</v>
      </c>
      <c r="F12" s="41"/>
      <c r="G12" s="7">
        <v>21.4</v>
      </c>
      <c r="H12" s="38"/>
      <c r="I12" s="57" t="s">
        <v>7</v>
      </c>
      <c r="J12" s="41"/>
      <c r="K12" s="7">
        <v>21.4</v>
      </c>
      <c r="L12" s="38"/>
      <c r="M12" s="56"/>
      <c r="N12" s="6"/>
      <c r="O12" s="6"/>
    </row>
    <row r="13" spans="1:16" x14ac:dyDescent="0.25">
      <c r="A13" s="43" t="s">
        <v>24</v>
      </c>
      <c r="B13" s="48" t="s">
        <v>35</v>
      </c>
      <c r="C13" s="47"/>
      <c r="D13" s="38"/>
      <c r="E13" s="43" t="s">
        <v>24</v>
      </c>
      <c r="F13" s="48" t="s">
        <v>35</v>
      </c>
      <c r="G13" s="47"/>
      <c r="H13" s="38"/>
      <c r="I13" s="43" t="s">
        <v>24</v>
      </c>
      <c r="J13" s="48" t="s">
        <v>35</v>
      </c>
      <c r="K13" s="47"/>
      <c r="L13" s="38"/>
      <c r="M13" s="56" t="s">
        <v>43</v>
      </c>
      <c r="N13" s="6"/>
      <c r="O13" s="6"/>
    </row>
    <row r="14" spans="1:16" x14ac:dyDescent="0.25">
      <c r="A14" s="6" t="s">
        <v>0</v>
      </c>
      <c r="B14" s="72">
        <v>25</v>
      </c>
      <c r="C14" s="50">
        <f>LOOKUP((($C$2+$C$3)/2),'Tabelle B (JA &amp; EÜR)'!A3:A79,'Tabelle B (JA &amp; EÜR)'!D3:D79)+20</f>
        <v>135</v>
      </c>
      <c r="D14" s="38"/>
      <c r="E14" s="6" t="s">
        <v>0</v>
      </c>
      <c r="F14" s="77">
        <f>B14</f>
        <v>25</v>
      </c>
      <c r="G14" s="50">
        <f>C14</f>
        <v>135</v>
      </c>
      <c r="H14" s="38"/>
      <c r="I14" s="57" t="s">
        <v>0</v>
      </c>
      <c r="J14" s="77">
        <f>F14</f>
        <v>25</v>
      </c>
      <c r="K14" s="7">
        <f>C14</f>
        <v>135</v>
      </c>
      <c r="L14" s="38"/>
      <c r="M14" s="6" t="s">
        <v>40</v>
      </c>
      <c r="N14" s="6" t="s">
        <v>44</v>
      </c>
      <c r="O14" s="53">
        <v>100</v>
      </c>
    </row>
    <row r="15" spans="1:16" x14ac:dyDescent="0.25">
      <c r="A15" s="6" t="s">
        <v>12</v>
      </c>
      <c r="B15" s="72">
        <v>5</v>
      </c>
      <c r="C15" s="50">
        <f>LOOKUP((($C$2+$C$3)/2),'Tabelle B (JA &amp; EÜR)'!A3:A79,'Tabelle B (JA &amp; EÜR)'!E3:E79)</f>
        <v>23</v>
      </c>
      <c r="D15" s="38"/>
      <c r="E15" s="6" t="s">
        <v>30</v>
      </c>
      <c r="F15" s="77">
        <f>B17</f>
        <v>3.5</v>
      </c>
      <c r="G15" s="50">
        <f>C17</f>
        <v>169.75</v>
      </c>
      <c r="H15" s="38"/>
      <c r="I15" s="57" t="s">
        <v>12</v>
      </c>
      <c r="J15" s="77">
        <f>B15</f>
        <v>5</v>
      </c>
      <c r="K15" s="7">
        <f>C15</f>
        <v>23</v>
      </c>
      <c r="L15" s="38"/>
      <c r="M15" s="6" t="s">
        <v>40</v>
      </c>
      <c r="N15" s="6" t="s">
        <v>45</v>
      </c>
      <c r="O15" s="53">
        <v>150</v>
      </c>
    </row>
    <row r="16" spans="1:16" x14ac:dyDescent="0.25">
      <c r="A16" s="6" t="s">
        <v>27</v>
      </c>
      <c r="B16" s="73">
        <v>3.5</v>
      </c>
      <c r="C16" s="50">
        <f>LOOKUP($C$5,'Tabelle A (Steuererklärungen)'!A3:A37,'Tabelle A (Steuererklärungen)'!F3:F37)</f>
        <v>232.75</v>
      </c>
      <c r="D16" s="38"/>
      <c r="E16" s="6" t="s">
        <v>28</v>
      </c>
      <c r="F16" s="77">
        <f>B18</f>
        <v>3.5</v>
      </c>
      <c r="G16" s="50">
        <f>C18</f>
        <v>169.75</v>
      </c>
      <c r="H16" s="38"/>
      <c r="I16" s="74" t="s">
        <v>51</v>
      </c>
      <c r="J16" s="73">
        <f>B16</f>
        <v>3.5</v>
      </c>
      <c r="K16" s="50">
        <f>C16</f>
        <v>232.75</v>
      </c>
      <c r="L16" s="38"/>
    </row>
    <row r="17" spans="1:16" x14ac:dyDescent="0.25">
      <c r="A17" s="6" t="s">
        <v>30</v>
      </c>
      <c r="B17" s="73">
        <v>3.5</v>
      </c>
      <c r="C17" s="50">
        <f>LOOKUP($C$3/10,'Tabelle A (Steuererklärungen)'!A3:A37,'Tabelle A (Steuererklärungen)'!D3:D37)</f>
        <v>169.75</v>
      </c>
      <c r="D17" s="38"/>
      <c r="E17" s="6" t="s">
        <v>33</v>
      </c>
      <c r="F17" s="46" t="s">
        <v>34</v>
      </c>
      <c r="G17" s="50">
        <v>99</v>
      </c>
      <c r="H17" s="38"/>
      <c r="I17" s="57" t="s">
        <v>30</v>
      </c>
      <c r="J17" s="77">
        <f>B17</f>
        <v>3.5</v>
      </c>
      <c r="K17" s="50">
        <f>C17</f>
        <v>169.75</v>
      </c>
      <c r="L17" s="38"/>
      <c r="M17" s="106" t="s">
        <v>26</v>
      </c>
      <c r="N17" s="107"/>
      <c r="O17" s="107"/>
      <c r="P17" s="4"/>
    </row>
    <row r="18" spans="1:16" x14ac:dyDescent="0.25">
      <c r="A18" s="6" t="s">
        <v>28</v>
      </c>
      <c r="B18" s="73">
        <v>3.5</v>
      </c>
      <c r="C18" s="50">
        <f>LOOKUP($C$5,'Tabelle A (Steuererklärungen)'!A3:A37,'Tabelle A (Steuererklärungen)'!E3:E37)</f>
        <v>169.75</v>
      </c>
      <c r="D18" s="38"/>
      <c r="E18" s="6" t="s">
        <v>29</v>
      </c>
      <c r="F18" s="46" t="s">
        <v>34</v>
      </c>
      <c r="G18" s="50">
        <v>89</v>
      </c>
      <c r="H18" s="38"/>
      <c r="I18" s="57" t="s">
        <v>28</v>
      </c>
      <c r="J18" s="77">
        <f>B18</f>
        <v>3.5</v>
      </c>
      <c r="K18" s="50">
        <f>C18</f>
        <v>169.75</v>
      </c>
      <c r="L18" s="38"/>
      <c r="M18" s="6" t="s">
        <v>2</v>
      </c>
      <c r="N18" s="75" t="s">
        <v>58</v>
      </c>
      <c r="O18" s="76">
        <v>199</v>
      </c>
      <c r="P18" s="4"/>
    </row>
    <row r="19" spans="1:16" x14ac:dyDescent="0.25">
      <c r="A19" s="6" t="s">
        <v>33</v>
      </c>
      <c r="B19" s="46" t="s">
        <v>34</v>
      </c>
      <c r="C19" s="49">
        <v>99</v>
      </c>
      <c r="D19" s="38"/>
      <c r="E19" s="85" t="s">
        <v>8</v>
      </c>
      <c r="F19" s="86" t="s">
        <v>9</v>
      </c>
      <c r="G19" s="87" t="s">
        <v>10</v>
      </c>
      <c r="H19" s="38"/>
      <c r="I19" s="57" t="s">
        <v>33</v>
      </c>
      <c r="J19" s="46" t="s">
        <v>34</v>
      </c>
      <c r="K19" s="50">
        <v>99</v>
      </c>
      <c r="L19" s="38"/>
      <c r="M19" s="111" t="s">
        <v>2</v>
      </c>
      <c r="N19" s="112" t="s">
        <v>36</v>
      </c>
      <c r="O19" s="113">
        <v>199</v>
      </c>
      <c r="P19" s="4"/>
    </row>
    <row r="20" spans="1:16" x14ac:dyDescent="0.25">
      <c r="A20" s="6" t="s">
        <v>22</v>
      </c>
      <c r="B20" s="46" t="s">
        <v>34</v>
      </c>
      <c r="C20" s="49">
        <v>149</v>
      </c>
      <c r="D20" s="38"/>
      <c r="E20" s="83" t="s">
        <v>1</v>
      </c>
      <c r="F20" s="84">
        <f>G20*12</f>
        <v>3697.2</v>
      </c>
      <c r="G20" s="84">
        <f>SUM(G10:G12)</f>
        <v>308.09999999999997</v>
      </c>
      <c r="H20" s="38"/>
      <c r="I20" s="57" t="s">
        <v>22</v>
      </c>
      <c r="J20" s="46" t="s">
        <v>34</v>
      </c>
      <c r="K20" s="50">
        <v>298</v>
      </c>
      <c r="L20" s="38"/>
      <c r="M20" s="115"/>
      <c r="N20" s="115"/>
      <c r="O20" s="116"/>
      <c r="P20" s="93"/>
    </row>
    <row r="21" spans="1:16" x14ac:dyDescent="0.25">
      <c r="A21" s="6" t="s">
        <v>29</v>
      </c>
      <c r="B21" s="46" t="s">
        <v>34</v>
      </c>
      <c r="C21" s="49">
        <v>89</v>
      </c>
      <c r="D21" s="42"/>
      <c r="E21" s="83" t="s">
        <v>0</v>
      </c>
      <c r="F21" s="84">
        <f>SUM(G14:G18)</f>
        <v>662.5</v>
      </c>
      <c r="G21" s="84">
        <f>F21/12</f>
        <v>55.208333333333336</v>
      </c>
      <c r="H21" s="42"/>
      <c r="I21" s="57" t="s">
        <v>29</v>
      </c>
      <c r="J21" s="46" t="s">
        <v>34</v>
      </c>
      <c r="K21" s="50">
        <v>89</v>
      </c>
      <c r="L21" s="42"/>
      <c r="M21" s="114"/>
      <c r="N21" s="114"/>
      <c r="O21" s="114"/>
      <c r="P21" s="4"/>
    </row>
    <row r="22" spans="1:16" x14ac:dyDescent="0.25">
      <c r="A22" s="85" t="s">
        <v>8</v>
      </c>
      <c r="B22" s="86" t="s">
        <v>9</v>
      </c>
      <c r="C22" s="87" t="s">
        <v>10</v>
      </c>
      <c r="D22" s="38"/>
      <c r="H22" s="38"/>
      <c r="I22" s="85" t="s">
        <v>8</v>
      </c>
      <c r="J22" s="86" t="s">
        <v>9</v>
      </c>
      <c r="K22" s="87" t="s">
        <v>10</v>
      </c>
      <c r="L22" s="38"/>
      <c r="P22" s="4"/>
    </row>
    <row r="23" spans="1:16" x14ac:dyDescent="0.25">
      <c r="A23" s="83" t="s">
        <v>1</v>
      </c>
      <c r="B23" s="84">
        <f>C23*12</f>
        <v>3697.2</v>
      </c>
      <c r="C23" s="84">
        <f>SUM(C10:C12)</f>
        <v>308.09999999999997</v>
      </c>
      <c r="D23" s="38"/>
      <c r="H23" s="38"/>
      <c r="I23" s="83" t="s">
        <v>1</v>
      </c>
      <c r="J23" s="84">
        <f>K23*12</f>
        <v>3697.2</v>
      </c>
      <c r="K23" s="84">
        <f>SUM(K10:K12)</f>
        <v>308.09999999999997</v>
      </c>
      <c r="L23" s="38"/>
      <c r="P23" s="4"/>
    </row>
    <row r="24" spans="1:16" x14ac:dyDescent="0.25">
      <c r="A24" s="83" t="s">
        <v>0</v>
      </c>
      <c r="B24" s="84">
        <f>SUM(C14:C21)</f>
        <v>1067.25</v>
      </c>
      <c r="C24" s="84">
        <f>B24/12</f>
        <v>88.9375</v>
      </c>
      <c r="D24" s="44"/>
      <c r="H24" s="44"/>
      <c r="I24" s="83" t="s">
        <v>0</v>
      </c>
      <c r="J24" s="84">
        <f>SUM(K14:K21)</f>
        <v>1216.25</v>
      </c>
      <c r="K24" s="84">
        <f>J24/12</f>
        <v>101.35416666666667</v>
      </c>
      <c r="L24" s="44"/>
      <c r="P24" s="4"/>
    </row>
    <row r="25" spans="1:16" x14ac:dyDescent="0.25">
      <c r="C25" s="19"/>
      <c r="P25" s="4"/>
    </row>
    <row r="26" spans="1:16" x14ac:dyDescent="0.25">
      <c r="C26" s="19"/>
      <c r="P26" s="4"/>
    </row>
    <row r="27" spans="1:16" x14ac:dyDescent="0.25">
      <c r="B27" s="78"/>
      <c r="C27" s="78"/>
      <c r="O27" s="4"/>
      <c r="P27" s="4"/>
    </row>
    <row r="28" spans="1:16" x14ac:dyDescent="0.25">
      <c r="A28" s="95"/>
      <c r="B28" s="96"/>
      <c r="C28" s="97"/>
      <c r="D28" s="98"/>
      <c r="E28" s="95"/>
      <c r="F28" s="95"/>
      <c r="G28" s="99"/>
      <c r="H28" s="98"/>
      <c r="I28" s="98"/>
      <c r="J28" s="98"/>
      <c r="K28" s="98"/>
      <c r="L28" s="98"/>
      <c r="M28" s="98"/>
      <c r="N28" s="98"/>
      <c r="O28" s="95"/>
      <c r="P28" s="4"/>
    </row>
    <row r="29" spans="1:16" s="94" customFormat="1" x14ac:dyDescent="0.25">
      <c r="A29" s="88"/>
      <c r="B29" s="89"/>
      <c r="C29" s="90"/>
      <c r="D29" s="91"/>
      <c r="E29" s="88"/>
      <c r="F29" s="88"/>
      <c r="G29" s="92"/>
      <c r="H29" s="91"/>
      <c r="I29" s="91"/>
      <c r="J29" s="91"/>
      <c r="K29" s="91"/>
      <c r="L29" s="91"/>
      <c r="M29" s="91"/>
      <c r="N29" s="91"/>
      <c r="O29" s="88"/>
      <c r="P29" s="93"/>
    </row>
    <row r="30" spans="1:16" s="94" customFormat="1" x14ac:dyDescent="0.25">
      <c r="A30" s="100" t="s">
        <v>56</v>
      </c>
      <c r="B30" s="101"/>
      <c r="C30" s="102"/>
      <c r="D30" s="91"/>
      <c r="E30" s="88"/>
      <c r="F30" s="88"/>
      <c r="G30" s="92"/>
      <c r="H30" s="91"/>
      <c r="I30" s="91"/>
      <c r="J30" s="91"/>
      <c r="K30" s="91"/>
      <c r="L30" s="91"/>
      <c r="M30" s="105" t="s">
        <v>36</v>
      </c>
      <c r="N30" s="108"/>
      <c r="O30" s="102"/>
      <c r="P30" s="93"/>
    </row>
    <row r="31" spans="1:16" s="94" customFormat="1" x14ac:dyDescent="0.25">
      <c r="A31" s="51" t="s">
        <v>4</v>
      </c>
      <c r="B31" s="2"/>
      <c r="C31" s="110">
        <v>0</v>
      </c>
      <c r="D31" s="91"/>
      <c r="E31" s="88"/>
      <c r="F31" s="88"/>
      <c r="G31" s="92"/>
      <c r="H31" s="91"/>
      <c r="I31" s="91"/>
      <c r="J31" s="91"/>
      <c r="K31" s="91"/>
      <c r="L31" s="91"/>
      <c r="M31" s="52" t="s">
        <v>57</v>
      </c>
      <c r="N31" s="6" t="s">
        <v>37</v>
      </c>
      <c r="O31" s="53">
        <v>18</v>
      </c>
      <c r="P31" s="93"/>
    </row>
    <row r="32" spans="1:16" s="94" customFormat="1" x14ac:dyDescent="0.25">
      <c r="A32" s="3" t="s">
        <v>46</v>
      </c>
      <c r="B32" s="54"/>
      <c r="C32" s="82">
        <v>0</v>
      </c>
      <c r="D32" s="91"/>
      <c r="E32" s="88"/>
      <c r="F32" s="88"/>
      <c r="G32" s="92"/>
      <c r="H32" s="91"/>
      <c r="I32" s="91"/>
      <c r="J32" s="91"/>
      <c r="K32" s="91"/>
      <c r="L32" s="91"/>
      <c r="M32" s="6" t="s">
        <v>39</v>
      </c>
      <c r="N32" s="6" t="s">
        <v>38</v>
      </c>
      <c r="O32" s="53">
        <v>10</v>
      </c>
      <c r="P32" s="93"/>
    </row>
    <row r="33" spans="1:16" s="94" customFormat="1" x14ac:dyDescent="0.25">
      <c r="A33" s="3" t="s">
        <v>5</v>
      </c>
      <c r="B33" s="2"/>
      <c r="C33" s="80">
        <f>C31*C32</f>
        <v>0</v>
      </c>
      <c r="D33" s="91"/>
      <c r="E33" s="88"/>
      <c r="F33" s="88"/>
      <c r="G33" s="92"/>
      <c r="H33" s="91"/>
      <c r="I33" s="91"/>
      <c r="J33" s="91"/>
      <c r="K33" s="91"/>
      <c r="L33" s="91"/>
      <c r="M33" s="6" t="s">
        <v>41</v>
      </c>
      <c r="N33" s="6" t="s">
        <v>42</v>
      </c>
      <c r="O33" s="53">
        <v>69</v>
      </c>
      <c r="P33" s="93"/>
    </row>
    <row r="34" spans="1:16" x14ac:dyDescent="0.25">
      <c r="M34" s="56"/>
      <c r="N34" s="6"/>
      <c r="O34" s="6"/>
      <c r="P34" s="4"/>
    </row>
    <row r="35" spans="1:16" ht="15.75" x14ac:dyDescent="0.25">
      <c r="A35" s="100" t="s">
        <v>53</v>
      </c>
      <c r="B35" s="101"/>
      <c r="C35" s="102"/>
      <c r="E35" s="103" t="s">
        <v>47</v>
      </c>
      <c r="F35" s="101"/>
      <c r="G35" s="102"/>
      <c r="I35" s="4"/>
      <c r="J35" s="4"/>
      <c r="K35" s="4"/>
      <c r="M35" s="56" t="s">
        <v>43</v>
      </c>
      <c r="N35" s="6"/>
      <c r="O35" s="6"/>
    </row>
    <row r="36" spans="1:16" x14ac:dyDescent="0.25">
      <c r="A36" s="43" t="s">
        <v>1</v>
      </c>
      <c r="B36" s="1"/>
      <c r="C36" s="47"/>
      <c r="E36" s="43" t="s">
        <v>1</v>
      </c>
      <c r="F36" s="1"/>
      <c r="G36" s="47"/>
      <c r="I36" s="4"/>
      <c r="M36" s="6" t="s">
        <v>40</v>
      </c>
      <c r="N36" s="6" t="s">
        <v>44</v>
      </c>
      <c r="O36" s="53">
        <v>100</v>
      </c>
    </row>
    <row r="37" spans="1:16" x14ac:dyDescent="0.25">
      <c r="A37" s="6" t="s">
        <v>6</v>
      </c>
      <c r="B37" s="55">
        <f>B10</f>
        <v>7</v>
      </c>
      <c r="C37" s="7">
        <f>LOOKUP($C$31,'Fibu Staffel Allgemein'!A2:A295,'Fibu Staffel Allgemein'!E2:E295)</f>
        <v>266.7</v>
      </c>
      <c r="D37" s="38"/>
      <c r="E37" s="6" t="s">
        <v>6</v>
      </c>
      <c r="F37" s="55">
        <f>B37</f>
        <v>7</v>
      </c>
      <c r="G37" s="7">
        <f>C37</f>
        <v>266.7</v>
      </c>
      <c r="H37" s="38"/>
      <c r="L37" s="38"/>
      <c r="M37" s="6" t="s">
        <v>40</v>
      </c>
      <c r="N37" s="6" t="s">
        <v>45</v>
      </c>
      <c r="O37" s="53">
        <v>150</v>
      </c>
    </row>
    <row r="38" spans="1:16" x14ac:dyDescent="0.25">
      <c r="A38" s="6" t="s">
        <v>23</v>
      </c>
      <c r="B38" s="41"/>
      <c r="C38" s="7">
        <f>C11</f>
        <v>20</v>
      </c>
      <c r="D38" s="38"/>
      <c r="E38" s="6" t="s">
        <v>23</v>
      </c>
      <c r="F38" s="41"/>
      <c r="G38" s="7">
        <f>C38</f>
        <v>20</v>
      </c>
      <c r="H38" s="38"/>
      <c r="L38" s="38"/>
    </row>
    <row r="39" spans="1:16" x14ac:dyDescent="0.25">
      <c r="A39" s="6" t="s">
        <v>7</v>
      </c>
      <c r="B39" s="41"/>
      <c r="C39" s="7">
        <v>21.4</v>
      </c>
      <c r="D39" s="38"/>
      <c r="E39" s="6" t="s">
        <v>7</v>
      </c>
      <c r="F39" s="41"/>
      <c r="G39" s="7">
        <v>21.4</v>
      </c>
      <c r="H39" s="38"/>
      <c r="L39" s="38"/>
      <c r="M39" s="106" t="s">
        <v>26</v>
      </c>
      <c r="N39" s="107"/>
      <c r="O39" s="107"/>
    </row>
    <row r="40" spans="1:16" x14ac:dyDescent="0.25">
      <c r="A40" s="43" t="s">
        <v>24</v>
      </c>
      <c r="B40" s="48" t="s">
        <v>35</v>
      </c>
      <c r="C40" s="47"/>
      <c r="D40" s="38"/>
      <c r="E40" s="43" t="s">
        <v>24</v>
      </c>
      <c r="F40" s="48" t="s">
        <v>35</v>
      </c>
      <c r="G40" s="47"/>
      <c r="H40" s="38"/>
      <c r="L40" s="38"/>
      <c r="M40" s="6" t="s">
        <v>2</v>
      </c>
      <c r="N40" s="75" t="s">
        <v>58</v>
      </c>
      <c r="O40" s="76">
        <v>199</v>
      </c>
    </row>
    <row r="41" spans="1:16" x14ac:dyDescent="0.25">
      <c r="A41" s="6" t="s">
        <v>52</v>
      </c>
      <c r="B41" s="72">
        <v>15</v>
      </c>
      <c r="C41" s="50">
        <f>LOOKUP($C$31,'Tabelle B (JA &amp; EÜR)'!G3:G67,'Tabelle B (JA &amp; EÜR)'!J3:J67)+20</f>
        <v>255.5</v>
      </c>
      <c r="D41" s="38"/>
      <c r="E41" s="6" t="s">
        <v>52</v>
      </c>
      <c r="F41" s="77">
        <f t="shared" ref="F41:G41" si="0">B41</f>
        <v>15</v>
      </c>
      <c r="G41" s="50">
        <f t="shared" si="0"/>
        <v>255.5</v>
      </c>
      <c r="H41" s="38"/>
      <c r="L41" s="38"/>
      <c r="M41" s="111" t="s">
        <v>2</v>
      </c>
      <c r="N41" s="112" t="s">
        <v>36</v>
      </c>
      <c r="O41" s="113">
        <v>199</v>
      </c>
    </row>
    <row r="42" spans="1:16" x14ac:dyDescent="0.25">
      <c r="A42" s="6" t="s">
        <v>54</v>
      </c>
      <c r="B42" s="72">
        <v>7</v>
      </c>
      <c r="C42" s="50">
        <f>LOOKUP($C$31,'Tabelle B (JA &amp; EÜR)'!G3:G67,'Tabelle B (JA &amp; EÜR)'!K3:K67)</f>
        <v>109.89999999999999</v>
      </c>
      <c r="D42" s="38"/>
      <c r="E42" s="6" t="s">
        <v>54</v>
      </c>
      <c r="F42" s="77">
        <f>B42</f>
        <v>7</v>
      </c>
      <c r="G42" s="50">
        <f>C42</f>
        <v>109.89999999999999</v>
      </c>
      <c r="H42" s="38"/>
      <c r="L42" s="38"/>
    </row>
    <row r="43" spans="1:16" x14ac:dyDescent="0.25">
      <c r="A43" s="6" t="s">
        <v>30</v>
      </c>
      <c r="B43" s="77">
        <f>B17</f>
        <v>3.5</v>
      </c>
      <c r="C43" s="50">
        <f>LOOKUP($C$31/10,'Tabelle A (Steuererklärungen)'!A3:A37,'Tabelle A (Steuererklärungen)'!D3:D37)</f>
        <v>169.75</v>
      </c>
      <c r="D43" s="38"/>
      <c r="E43" s="6" t="s">
        <v>30</v>
      </c>
      <c r="F43" s="77">
        <f>B43</f>
        <v>3.5</v>
      </c>
      <c r="G43" s="50">
        <f>C43</f>
        <v>169.75</v>
      </c>
      <c r="H43" s="38"/>
      <c r="L43" s="38"/>
    </row>
    <row r="44" spans="1:16" x14ac:dyDescent="0.25">
      <c r="A44" s="6" t="s">
        <v>28</v>
      </c>
      <c r="B44" s="77">
        <f>B18</f>
        <v>3.5</v>
      </c>
      <c r="C44" s="50">
        <f>LOOKUP($C$33,'Tabelle A (Steuererklärungen)'!A3:A37,'Tabelle A (Steuererklärungen)'!E3:E37)</f>
        <v>169.75</v>
      </c>
      <c r="D44" s="38"/>
      <c r="E44" s="6" t="s">
        <v>29</v>
      </c>
      <c r="F44" s="46" t="s">
        <v>34</v>
      </c>
      <c r="G44" s="50">
        <v>89</v>
      </c>
      <c r="H44" s="38"/>
      <c r="L44" s="38"/>
    </row>
    <row r="45" spans="1:16" x14ac:dyDescent="0.25">
      <c r="A45" s="6" t="s">
        <v>29</v>
      </c>
      <c r="B45" s="46" t="s">
        <v>34</v>
      </c>
      <c r="C45" s="50">
        <v>89</v>
      </c>
      <c r="D45" s="38"/>
      <c r="E45" s="85" t="s">
        <v>8</v>
      </c>
      <c r="F45" s="86" t="s">
        <v>9</v>
      </c>
      <c r="G45" s="87" t="s">
        <v>10</v>
      </c>
      <c r="H45" s="38"/>
      <c r="L45" s="38"/>
    </row>
    <row r="46" spans="1:16" x14ac:dyDescent="0.25">
      <c r="A46" s="85" t="s">
        <v>8</v>
      </c>
      <c r="B46" s="86" t="s">
        <v>9</v>
      </c>
      <c r="C46" s="87" t="s">
        <v>10</v>
      </c>
      <c r="D46" s="42"/>
      <c r="E46" s="83" t="s">
        <v>1</v>
      </c>
      <c r="F46" s="84">
        <f>G46*12</f>
        <v>3697.2</v>
      </c>
      <c r="G46" s="84">
        <f>SUM(G37:G39)</f>
        <v>308.09999999999997</v>
      </c>
      <c r="H46" s="42"/>
      <c r="L46" s="42"/>
    </row>
    <row r="47" spans="1:16" x14ac:dyDescent="0.25">
      <c r="A47" s="83" t="s">
        <v>1</v>
      </c>
      <c r="B47" s="84">
        <f>C47*12</f>
        <v>3697.2</v>
      </c>
      <c r="C47" s="84">
        <f>SUM(C37:C39)</f>
        <v>308.09999999999997</v>
      </c>
      <c r="D47" s="38"/>
      <c r="E47" s="83" t="s">
        <v>0</v>
      </c>
      <c r="F47" s="84">
        <f>SUM(G41:G44)</f>
        <v>624.15</v>
      </c>
      <c r="G47" s="84">
        <f>F47/12</f>
        <v>52.012499999999996</v>
      </c>
      <c r="H47" s="38"/>
      <c r="L47" s="38"/>
    </row>
    <row r="48" spans="1:16" x14ac:dyDescent="0.25">
      <c r="A48" s="83" t="s">
        <v>0</v>
      </c>
      <c r="B48" s="84">
        <f>SUM(C41:C45)</f>
        <v>793.9</v>
      </c>
      <c r="C48" s="84">
        <f>B48/12</f>
        <v>66.158333333333331</v>
      </c>
      <c r="D48" s="38"/>
      <c r="H48" s="38"/>
      <c r="L48" s="38"/>
    </row>
    <row r="49" spans="4:12" x14ac:dyDescent="0.25">
      <c r="D49" s="44"/>
      <c r="H49" s="44"/>
      <c r="L49" s="4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84"/>
  <sheetViews>
    <sheetView workbookViewId="0">
      <selection activeCell="H2" sqref="H2"/>
    </sheetView>
  </sheetViews>
  <sheetFormatPr baseColWidth="10" defaultRowHeight="15" x14ac:dyDescent="0.25"/>
  <cols>
    <col min="1" max="2" width="13" style="21" bestFit="1" customWidth="1"/>
    <col min="3" max="3" width="12.5703125" style="21" customWidth="1"/>
    <col min="4" max="4" width="7.85546875" style="21" bestFit="1" customWidth="1"/>
    <col min="5" max="5" width="11" style="21" bestFit="1" customWidth="1"/>
  </cols>
  <sheetData>
    <row r="1" spans="1:5" x14ac:dyDescent="0.25">
      <c r="A1" s="117"/>
      <c r="B1" s="118"/>
      <c r="C1" s="22" t="s">
        <v>11</v>
      </c>
      <c r="D1" s="23" t="s">
        <v>20</v>
      </c>
      <c r="E1" s="23" t="s">
        <v>21</v>
      </c>
    </row>
    <row r="2" spans="1:5" x14ac:dyDescent="0.25">
      <c r="A2" s="24">
        <v>0</v>
      </c>
      <c r="B2" s="24">
        <v>350000</v>
      </c>
      <c r="C2" s="25">
        <v>381</v>
      </c>
      <c r="D2" s="26">
        <v>7</v>
      </c>
      <c r="E2" s="27">
        <f t="shared" ref="E2:E4" si="0">C2/10*D2</f>
        <v>266.7</v>
      </c>
    </row>
    <row r="3" spans="1:5" x14ac:dyDescent="0.25">
      <c r="A3" s="24">
        <f t="shared" ref="A3:A5" si="1">B2+1</f>
        <v>350001</v>
      </c>
      <c r="B3" s="24">
        <f t="shared" ref="B3:B4" si="2">B2+50000</f>
        <v>400000</v>
      </c>
      <c r="C3" s="25">
        <v>416</v>
      </c>
      <c r="D3" s="26">
        <v>7</v>
      </c>
      <c r="E3" s="27">
        <f t="shared" si="0"/>
        <v>291.2</v>
      </c>
    </row>
    <row r="4" spans="1:5" x14ac:dyDescent="0.25">
      <c r="A4" s="24">
        <f t="shared" si="1"/>
        <v>400001</v>
      </c>
      <c r="B4" s="24">
        <f t="shared" si="2"/>
        <v>450000</v>
      </c>
      <c r="C4" s="25">
        <v>448</v>
      </c>
      <c r="D4" s="26">
        <v>7</v>
      </c>
      <c r="E4" s="27">
        <f t="shared" si="0"/>
        <v>313.59999999999997</v>
      </c>
    </row>
    <row r="5" spans="1:5" x14ac:dyDescent="0.25">
      <c r="A5" s="24">
        <f t="shared" si="1"/>
        <v>450001</v>
      </c>
      <c r="B5" s="24">
        <v>500000</v>
      </c>
      <c r="C5" s="25">
        <v>483</v>
      </c>
      <c r="D5" s="26">
        <v>7</v>
      </c>
      <c r="E5" s="27">
        <f t="shared" ref="E5:E61" si="3">C5/10*D5</f>
        <v>338.09999999999997</v>
      </c>
    </row>
    <row r="6" spans="1:5" x14ac:dyDescent="0.25">
      <c r="A6" s="24">
        <f>B5+1</f>
        <v>500001</v>
      </c>
      <c r="B6" s="24">
        <f>B5+50000</f>
        <v>550000</v>
      </c>
      <c r="C6" s="25">
        <f>C5+34</f>
        <v>517</v>
      </c>
      <c r="D6" s="26">
        <v>7</v>
      </c>
      <c r="E6" s="27">
        <f t="shared" si="3"/>
        <v>361.90000000000003</v>
      </c>
    </row>
    <row r="7" spans="1:5" x14ac:dyDescent="0.25">
      <c r="A7" s="24">
        <f t="shared" ref="A7:A61" si="4">B6+1</f>
        <v>550001</v>
      </c>
      <c r="B7" s="24">
        <f t="shared" ref="B7:B62" si="5">B6+50000</f>
        <v>600000</v>
      </c>
      <c r="C7" s="25">
        <f t="shared" ref="C7:C69" si="6">C6+34</f>
        <v>551</v>
      </c>
      <c r="D7" s="26">
        <v>7</v>
      </c>
      <c r="E7" s="27">
        <f t="shared" si="3"/>
        <v>385.7</v>
      </c>
    </row>
    <row r="8" spans="1:5" x14ac:dyDescent="0.25">
      <c r="A8" s="24">
        <f t="shared" si="4"/>
        <v>600001</v>
      </c>
      <c r="B8" s="24">
        <f t="shared" si="5"/>
        <v>650000</v>
      </c>
      <c r="C8" s="25">
        <f t="shared" si="6"/>
        <v>585</v>
      </c>
      <c r="D8" s="28">
        <v>6.75</v>
      </c>
      <c r="E8" s="27">
        <f t="shared" si="3"/>
        <v>394.875</v>
      </c>
    </row>
    <row r="9" spans="1:5" x14ac:dyDescent="0.25">
      <c r="A9" s="24">
        <f t="shared" si="4"/>
        <v>650001</v>
      </c>
      <c r="B9" s="24">
        <f t="shared" si="5"/>
        <v>700000</v>
      </c>
      <c r="C9" s="25">
        <f t="shared" si="6"/>
        <v>619</v>
      </c>
      <c r="D9" s="28">
        <v>6.75</v>
      </c>
      <c r="E9" s="27">
        <f t="shared" si="3"/>
        <v>417.82499999999999</v>
      </c>
    </row>
    <row r="10" spans="1:5" x14ac:dyDescent="0.25">
      <c r="A10" s="24">
        <f t="shared" si="4"/>
        <v>700001</v>
      </c>
      <c r="B10" s="24">
        <f t="shared" si="5"/>
        <v>750000</v>
      </c>
      <c r="C10" s="25">
        <f t="shared" si="6"/>
        <v>653</v>
      </c>
      <c r="D10" s="28">
        <v>6.75</v>
      </c>
      <c r="E10" s="27">
        <f t="shared" si="3"/>
        <v>440.77499999999998</v>
      </c>
    </row>
    <row r="11" spans="1:5" x14ac:dyDescent="0.25">
      <c r="A11" s="24">
        <f t="shared" si="4"/>
        <v>750001</v>
      </c>
      <c r="B11" s="24">
        <f t="shared" si="5"/>
        <v>800000</v>
      </c>
      <c r="C11" s="25">
        <f t="shared" si="6"/>
        <v>687</v>
      </c>
      <c r="D11" s="28">
        <v>6.75</v>
      </c>
      <c r="E11" s="27">
        <f t="shared" si="3"/>
        <v>463.72500000000002</v>
      </c>
    </row>
    <row r="12" spans="1:5" x14ac:dyDescent="0.25">
      <c r="A12" s="24">
        <f t="shared" si="4"/>
        <v>800001</v>
      </c>
      <c r="B12" s="24">
        <f t="shared" si="5"/>
        <v>850000</v>
      </c>
      <c r="C12" s="25">
        <f t="shared" si="6"/>
        <v>721</v>
      </c>
      <c r="D12" s="28">
        <v>6.75</v>
      </c>
      <c r="E12" s="27">
        <f t="shared" si="3"/>
        <v>486.67499999999995</v>
      </c>
    </row>
    <row r="13" spans="1:5" x14ac:dyDescent="0.25">
      <c r="A13" s="24">
        <f t="shared" si="4"/>
        <v>850001</v>
      </c>
      <c r="B13" s="24">
        <f t="shared" si="5"/>
        <v>900000</v>
      </c>
      <c r="C13" s="25">
        <f t="shared" si="6"/>
        <v>755</v>
      </c>
      <c r="D13" s="28">
        <v>6.75</v>
      </c>
      <c r="E13" s="27">
        <f t="shared" si="3"/>
        <v>509.625</v>
      </c>
    </row>
    <row r="14" spans="1:5" x14ac:dyDescent="0.25">
      <c r="A14" s="24">
        <f t="shared" si="4"/>
        <v>900001</v>
      </c>
      <c r="B14" s="24">
        <f t="shared" si="5"/>
        <v>950000</v>
      </c>
      <c r="C14" s="25">
        <f t="shared" si="6"/>
        <v>789</v>
      </c>
      <c r="D14" s="28">
        <v>6.75</v>
      </c>
      <c r="E14" s="27">
        <f t="shared" si="3"/>
        <v>532.57500000000005</v>
      </c>
    </row>
    <row r="15" spans="1:5" x14ac:dyDescent="0.25">
      <c r="A15" s="24">
        <f t="shared" si="4"/>
        <v>950001</v>
      </c>
      <c r="B15" s="24">
        <f t="shared" si="5"/>
        <v>1000000</v>
      </c>
      <c r="C15" s="25">
        <f t="shared" si="6"/>
        <v>823</v>
      </c>
      <c r="D15" s="28">
        <v>6.75</v>
      </c>
      <c r="E15" s="27">
        <f t="shared" si="3"/>
        <v>555.52499999999998</v>
      </c>
    </row>
    <row r="16" spans="1:5" x14ac:dyDescent="0.25">
      <c r="A16" s="24">
        <f t="shared" si="4"/>
        <v>1000001</v>
      </c>
      <c r="B16" s="24">
        <f t="shared" si="5"/>
        <v>1050000</v>
      </c>
      <c r="C16" s="25">
        <f t="shared" si="6"/>
        <v>857</v>
      </c>
      <c r="D16" s="28">
        <v>6.75</v>
      </c>
      <c r="E16" s="27">
        <f t="shared" si="3"/>
        <v>578.47500000000002</v>
      </c>
    </row>
    <row r="17" spans="1:5" x14ac:dyDescent="0.25">
      <c r="A17" s="24">
        <f t="shared" si="4"/>
        <v>1050001</v>
      </c>
      <c r="B17" s="24">
        <f t="shared" si="5"/>
        <v>1100000</v>
      </c>
      <c r="C17" s="25">
        <f t="shared" si="6"/>
        <v>891</v>
      </c>
      <c r="D17" s="28">
        <v>6.75</v>
      </c>
      <c r="E17" s="27">
        <f t="shared" si="3"/>
        <v>601.42499999999995</v>
      </c>
    </row>
    <row r="18" spans="1:5" x14ac:dyDescent="0.25">
      <c r="A18" s="24">
        <f t="shared" si="4"/>
        <v>1100001</v>
      </c>
      <c r="B18" s="24">
        <f t="shared" si="5"/>
        <v>1150000</v>
      </c>
      <c r="C18" s="25">
        <f t="shared" si="6"/>
        <v>925</v>
      </c>
      <c r="D18" s="28">
        <v>6.75</v>
      </c>
      <c r="E18" s="27">
        <f t="shared" si="3"/>
        <v>624.375</v>
      </c>
    </row>
    <row r="19" spans="1:5" x14ac:dyDescent="0.25">
      <c r="A19" s="24">
        <f t="shared" si="4"/>
        <v>1150001</v>
      </c>
      <c r="B19" s="24">
        <f t="shared" si="5"/>
        <v>1200000</v>
      </c>
      <c r="C19" s="25">
        <f t="shared" si="6"/>
        <v>959</v>
      </c>
      <c r="D19" s="28">
        <v>6.75</v>
      </c>
      <c r="E19" s="27">
        <f t="shared" si="3"/>
        <v>647.32500000000005</v>
      </c>
    </row>
    <row r="20" spans="1:5" x14ac:dyDescent="0.25">
      <c r="A20" s="24">
        <f t="shared" si="4"/>
        <v>1200001</v>
      </c>
      <c r="B20" s="24">
        <f t="shared" si="5"/>
        <v>1250000</v>
      </c>
      <c r="C20" s="25">
        <f t="shared" si="6"/>
        <v>993</v>
      </c>
      <c r="D20" s="29">
        <v>6.5</v>
      </c>
      <c r="E20" s="27">
        <f t="shared" si="3"/>
        <v>645.44999999999993</v>
      </c>
    </row>
    <row r="21" spans="1:5" x14ac:dyDescent="0.25">
      <c r="A21" s="24">
        <f t="shared" si="4"/>
        <v>1250001</v>
      </c>
      <c r="B21" s="24">
        <f t="shared" si="5"/>
        <v>1300000</v>
      </c>
      <c r="C21" s="25">
        <f t="shared" si="6"/>
        <v>1027</v>
      </c>
      <c r="D21" s="29">
        <v>6.5</v>
      </c>
      <c r="E21" s="27">
        <f t="shared" si="3"/>
        <v>667.55000000000007</v>
      </c>
    </row>
    <row r="22" spans="1:5" x14ac:dyDescent="0.25">
      <c r="A22" s="24">
        <f t="shared" si="4"/>
        <v>1300001</v>
      </c>
      <c r="B22" s="24">
        <f t="shared" si="5"/>
        <v>1350000</v>
      </c>
      <c r="C22" s="25">
        <f t="shared" si="6"/>
        <v>1061</v>
      </c>
      <c r="D22" s="29">
        <v>6.5</v>
      </c>
      <c r="E22" s="27">
        <f t="shared" si="3"/>
        <v>689.65</v>
      </c>
    </row>
    <row r="23" spans="1:5" x14ac:dyDescent="0.25">
      <c r="A23" s="24">
        <f t="shared" si="4"/>
        <v>1350001</v>
      </c>
      <c r="B23" s="24">
        <f t="shared" si="5"/>
        <v>1400000</v>
      </c>
      <c r="C23" s="25">
        <f t="shared" si="6"/>
        <v>1095</v>
      </c>
      <c r="D23" s="29">
        <v>6.5</v>
      </c>
      <c r="E23" s="27">
        <f t="shared" si="3"/>
        <v>711.75</v>
      </c>
    </row>
    <row r="24" spans="1:5" x14ac:dyDescent="0.25">
      <c r="A24" s="24">
        <f t="shared" si="4"/>
        <v>1400001</v>
      </c>
      <c r="B24" s="24">
        <f t="shared" si="5"/>
        <v>1450000</v>
      </c>
      <c r="C24" s="25">
        <f t="shared" si="6"/>
        <v>1129</v>
      </c>
      <c r="D24" s="29">
        <v>6.5</v>
      </c>
      <c r="E24" s="27">
        <f t="shared" si="3"/>
        <v>733.85</v>
      </c>
    </row>
    <row r="25" spans="1:5" x14ac:dyDescent="0.25">
      <c r="A25" s="24">
        <f t="shared" si="4"/>
        <v>1450001</v>
      </c>
      <c r="B25" s="24">
        <f t="shared" si="5"/>
        <v>1500000</v>
      </c>
      <c r="C25" s="25">
        <f t="shared" si="6"/>
        <v>1163</v>
      </c>
      <c r="D25" s="29">
        <v>6.5</v>
      </c>
      <c r="E25" s="27">
        <f t="shared" si="3"/>
        <v>755.94999999999993</v>
      </c>
    </row>
    <row r="26" spans="1:5" x14ac:dyDescent="0.25">
      <c r="A26" s="24">
        <f t="shared" si="4"/>
        <v>1500001</v>
      </c>
      <c r="B26" s="24">
        <f t="shared" si="5"/>
        <v>1550000</v>
      </c>
      <c r="C26" s="25">
        <f t="shared" si="6"/>
        <v>1197</v>
      </c>
      <c r="D26" s="29">
        <v>6.5</v>
      </c>
      <c r="E26" s="27">
        <f t="shared" si="3"/>
        <v>778.05000000000007</v>
      </c>
    </row>
    <row r="27" spans="1:5" x14ac:dyDescent="0.25">
      <c r="A27" s="24">
        <f t="shared" si="4"/>
        <v>1550001</v>
      </c>
      <c r="B27" s="24">
        <f t="shared" si="5"/>
        <v>1600000</v>
      </c>
      <c r="C27" s="25">
        <f t="shared" si="6"/>
        <v>1231</v>
      </c>
      <c r="D27" s="29">
        <v>6.5</v>
      </c>
      <c r="E27" s="27">
        <f t="shared" si="3"/>
        <v>800.15</v>
      </c>
    </row>
    <row r="28" spans="1:5" x14ac:dyDescent="0.25">
      <c r="A28" s="24">
        <f t="shared" si="4"/>
        <v>1600001</v>
      </c>
      <c r="B28" s="24">
        <f t="shared" si="5"/>
        <v>1650000</v>
      </c>
      <c r="C28" s="25">
        <f t="shared" si="6"/>
        <v>1265</v>
      </c>
      <c r="D28" s="29">
        <v>6.5</v>
      </c>
      <c r="E28" s="27">
        <f t="shared" si="3"/>
        <v>822.25</v>
      </c>
    </row>
    <row r="29" spans="1:5" x14ac:dyDescent="0.25">
      <c r="A29" s="24">
        <f t="shared" si="4"/>
        <v>1650001</v>
      </c>
      <c r="B29" s="24">
        <f t="shared" si="5"/>
        <v>1700000</v>
      </c>
      <c r="C29" s="25">
        <f t="shared" si="6"/>
        <v>1299</v>
      </c>
      <c r="D29" s="29">
        <v>6.5</v>
      </c>
      <c r="E29" s="27">
        <f t="shared" si="3"/>
        <v>844.35</v>
      </c>
    </row>
    <row r="30" spans="1:5" x14ac:dyDescent="0.25">
      <c r="A30" s="24">
        <f t="shared" si="4"/>
        <v>1700001</v>
      </c>
      <c r="B30" s="24">
        <f t="shared" si="5"/>
        <v>1750000</v>
      </c>
      <c r="C30" s="25">
        <f t="shared" si="6"/>
        <v>1333</v>
      </c>
      <c r="D30" s="29">
        <v>6.5</v>
      </c>
      <c r="E30" s="27">
        <f t="shared" si="3"/>
        <v>866.45</v>
      </c>
    </row>
    <row r="31" spans="1:5" x14ac:dyDescent="0.25">
      <c r="A31" s="24">
        <f t="shared" si="4"/>
        <v>1750001</v>
      </c>
      <c r="B31" s="24">
        <f t="shared" si="5"/>
        <v>1800000</v>
      </c>
      <c r="C31" s="25">
        <f t="shared" si="6"/>
        <v>1367</v>
      </c>
      <c r="D31" s="29">
        <v>6.5</v>
      </c>
      <c r="E31" s="27">
        <f t="shared" si="3"/>
        <v>888.55</v>
      </c>
    </row>
    <row r="32" spans="1:5" x14ac:dyDescent="0.25">
      <c r="A32" s="24">
        <f t="shared" si="4"/>
        <v>1800001</v>
      </c>
      <c r="B32" s="24">
        <f t="shared" si="5"/>
        <v>1850000</v>
      </c>
      <c r="C32" s="25">
        <f t="shared" si="6"/>
        <v>1401</v>
      </c>
      <c r="D32" s="30">
        <v>6.25</v>
      </c>
      <c r="E32" s="27">
        <f t="shared" si="3"/>
        <v>875.625</v>
      </c>
    </row>
    <row r="33" spans="1:5" x14ac:dyDescent="0.25">
      <c r="A33" s="24">
        <f t="shared" si="4"/>
        <v>1850001</v>
      </c>
      <c r="B33" s="24">
        <f t="shared" si="5"/>
        <v>1900000</v>
      </c>
      <c r="C33" s="25">
        <f t="shared" si="6"/>
        <v>1435</v>
      </c>
      <c r="D33" s="30">
        <v>6.25</v>
      </c>
      <c r="E33" s="27">
        <f t="shared" si="3"/>
        <v>896.875</v>
      </c>
    </row>
    <row r="34" spans="1:5" x14ac:dyDescent="0.25">
      <c r="A34" s="24">
        <f t="shared" si="4"/>
        <v>1900001</v>
      </c>
      <c r="B34" s="24">
        <f t="shared" si="5"/>
        <v>1950000</v>
      </c>
      <c r="C34" s="25">
        <f t="shared" si="6"/>
        <v>1469</v>
      </c>
      <c r="D34" s="30">
        <v>6.25</v>
      </c>
      <c r="E34" s="27">
        <f t="shared" si="3"/>
        <v>918.125</v>
      </c>
    </row>
    <row r="35" spans="1:5" x14ac:dyDescent="0.25">
      <c r="A35" s="24">
        <f t="shared" si="4"/>
        <v>1950001</v>
      </c>
      <c r="B35" s="24">
        <f t="shared" si="5"/>
        <v>2000000</v>
      </c>
      <c r="C35" s="25">
        <f t="shared" si="6"/>
        <v>1503</v>
      </c>
      <c r="D35" s="30">
        <v>6.25</v>
      </c>
      <c r="E35" s="27">
        <f t="shared" si="3"/>
        <v>939.37500000000011</v>
      </c>
    </row>
    <row r="36" spans="1:5" x14ac:dyDescent="0.25">
      <c r="A36" s="24">
        <f t="shared" si="4"/>
        <v>2000001</v>
      </c>
      <c r="B36" s="24">
        <f t="shared" si="5"/>
        <v>2050000</v>
      </c>
      <c r="C36" s="25">
        <f t="shared" si="6"/>
        <v>1537</v>
      </c>
      <c r="D36" s="30">
        <v>6.25</v>
      </c>
      <c r="E36" s="27">
        <f t="shared" si="3"/>
        <v>960.62499999999989</v>
      </c>
    </row>
    <row r="37" spans="1:5" x14ac:dyDescent="0.25">
      <c r="A37" s="24">
        <f t="shared" si="4"/>
        <v>2050001</v>
      </c>
      <c r="B37" s="24">
        <f t="shared" si="5"/>
        <v>2100000</v>
      </c>
      <c r="C37" s="25">
        <f t="shared" si="6"/>
        <v>1571</v>
      </c>
      <c r="D37" s="30">
        <v>6.25</v>
      </c>
      <c r="E37" s="27">
        <f t="shared" si="3"/>
        <v>981.875</v>
      </c>
    </row>
    <row r="38" spans="1:5" x14ac:dyDescent="0.25">
      <c r="A38" s="24">
        <f t="shared" si="4"/>
        <v>2100001</v>
      </c>
      <c r="B38" s="24">
        <f t="shared" si="5"/>
        <v>2150000</v>
      </c>
      <c r="C38" s="25">
        <f t="shared" si="6"/>
        <v>1605</v>
      </c>
      <c r="D38" s="30">
        <v>6.25</v>
      </c>
      <c r="E38" s="27">
        <f t="shared" si="3"/>
        <v>1003.125</v>
      </c>
    </row>
    <row r="39" spans="1:5" x14ac:dyDescent="0.25">
      <c r="A39" s="24">
        <f t="shared" si="4"/>
        <v>2150001</v>
      </c>
      <c r="B39" s="24">
        <f t="shared" si="5"/>
        <v>2200000</v>
      </c>
      <c r="C39" s="25">
        <f t="shared" si="6"/>
        <v>1639</v>
      </c>
      <c r="D39" s="30">
        <v>6.25</v>
      </c>
      <c r="E39" s="27">
        <f t="shared" si="3"/>
        <v>1024.375</v>
      </c>
    </row>
    <row r="40" spans="1:5" x14ac:dyDescent="0.25">
      <c r="A40" s="24">
        <f t="shared" si="4"/>
        <v>2200001</v>
      </c>
      <c r="B40" s="24">
        <f t="shared" si="5"/>
        <v>2250000</v>
      </c>
      <c r="C40" s="25">
        <f t="shared" si="6"/>
        <v>1673</v>
      </c>
      <c r="D40" s="30">
        <v>6.25</v>
      </c>
      <c r="E40" s="27">
        <f t="shared" si="3"/>
        <v>1045.625</v>
      </c>
    </row>
    <row r="41" spans="1:5" x14ac:dyDescent="0.25">
      <c r="A41" s="24">
        <f t="shared" si="4"/>
        <v>2250001</v>
      </c>
      <c r="B41" s="24">
        <f t="shared" si="5"/>
        <v>2300000</v>
      </c>
      <c r="C41" s="25">
        <f t="shared" si="6"/>
        <v>1707</v>
      </c>
      <c r="D41" s="30">
        <v>6.25</v>
      </c>
      <c r="E41" s="27">
        <f t="shared" si="3"/>
        <v>1066.875</v>
      </c>
    </row>
    <row r="42" spans="1:5" x14ac:dyDescent="0.25">
      <c r="A42" s="24">
        <f t="shared" si="4"/>
        <v>2300001</v>
      </c>
      <c r="B42" s="24">
        <f t="shared" si="5"/>
        <v>2350000</v>
      </c>
      <c r="C42" s="25">
        <f t="shared" si="6"/>
        <v>1741</v>
      </c>
      <c r="D42" s="30">
        <v>6.25</v>
      </c>
      <c r="E42" s="27">
        <f t="shared" si="3"/>
        <v>1088.125</v>
      </c>
    </row>
    <row r="43" spans="1:5" x14ac:dyDescent="0.25">
      <c r="A43" s="24">
        <f t="shared" si="4"/>
        <v>2350001</v>
      </c>
      <c r="B43" s="24">
        <f t="shared" si="5"/>
        <v>2400000</v>
      </c>
      <c r="C43" s="25">
        <f t="shared" si="6"/>
        <v>1775</v>
      </c>
      <c r="D43" s="30">
        <v>6.25</v>
      </c>
      <c r="E43" s="27">
        <f t="shared" si="3"/>
        <v>1109.375</v>
      </c>
    </row>
    <row r="44" spans="1:5" x14ac:dyDescent="0.25">
      <c r="A44" s="24">
        <f t="shared" si="4"/>
        <v>2400001</v>
      </c>
      <c r="B44" s="24">
        <f t="shared" si="5"/>
        <v>2450000</v>
      </c>
      <c r="C44" s="25">
        <f t="shared" si="6"/>
        <v>1809</v>
      </c>
      <c r="D44" s="31">
        <v>6</v>
      </c>
      <c r="E44" s="27">
        <f t="shared" si="3"/>
        <v>1085.4000000000001</v>
      </c>
    </row>
    <row r="45" spans="1:5" x14ac:dyDescent="0.25">
      <c r="A45" s="24">
        <f t="shared" si="4"/>
        <v>2450001</v>
      </c>
      <c r="B45" s="24">
        <f t="shared" si="5"/>
        <v>2500000</v>
      </c>
      <c r="C45" s="25">
        <f t="shared" si="6"/>
        <v>1843</v>
      </c>
      <c r="D45" s="31">
        <v>6</v>
      </c>
      <c r="E45" s="27">
        <f t="shared" si="3"/>
        <v>1105.8000000000002</v>
      </c>
    </row>
    <row r="46" spans="1:5" x14ac:dyDescent="0.25">
      <c r="A46" s="24">
        <f t="shared" si="4"/>
        <v>2500001</v>
      </c>
      <c r="B46" s="24">
        <f t="shared" si="5"/>
        <v>2550000</v>
      </c>
      <c r="C46" s="25">
        <f t="shared" si="6"/>
        <v>1877</v>
      </c>
      <c r="D46" s="31">
        <v>6</v>
      </c>
      <c r="E46" s="27">
        <f t="shared" si="3"/>
        <v>1126.1999999999998</v>
      </c>
    </row>
    <row r="47" spans="1:5" x14ac:dyDescent="0.25">
      <c r="A47" s="24">
        <f t="shared" si="4"/>
        <v>2550001</v>
      </c>
      <c r="B47" s="24">
        <f t="shared" si="5"/>
        <v>2600000</v>
      </c>
      <c r="C47" s="25">
        <f t="shared" si="6"/>
        <v>1911</v>
      </c>
      <c r="D47" s="31">
        <v>6</v>
      </c>
      <c r="E47" s="27">
        <f t="shared" si="3"/>
        <v>1146.5999999999999</v>
      </c>
    </row>
    <row r="48" spans="1:5" x14ac:dyDescent="0.25">
      <c r="A48" s="24">
        <f t="shared" si="4"/>
        <v>2600001</v>
      </c>
      <c r="B48" s="24">
        <f t="shared" si="5"/>
        <v>2650000</v>
      </c>
      <c r="C48" s="25">
        <f t="shared" si="6"/>
        <v>1945</v>
      </c>
      <c r="D48" s="31">
        <v>6</v>
      </c>
      <c r="E48" s="27">
        <f t="shared" si="3"/>
        <v>1167</v>
      </c>
    </row>
    <row r="49" spans="1:5" x14ac:dyDescent="0.25">
      <c r="A49" s="24">
        <f t="shared" si="4"/>
        <v>2650001</v>
      </c>
      <c r="B49" s="24">
        <f t="shared" si="5"/>
        <v>2700000</v>
      </c>
      <c r="C49" s="25">
        <f t="shared" si="6"/>
        <v>1979</v>
      </c>
      <c r="D49" s="31">
        <v>6</v>
      </c>
      <c r="E49" s="27">
        <f t="shared" si="3"/>
        <v>1187.4000000000001</v>
      </c>
    </row>
    <row r="50" spans="1:5" x14ac:dyDescent="0.25">
      <c r="A50" s="24">
        <f t="shared" si="4"/>
        <v>2700001</v>
      </c>
      <c r="B50" s="24">
        <f t="shared" si="5"/>
        <v>2750000</v>
      </c>
      <c r="C50" s="25">
        <f t="shared" si="6"/>
        <v>2013</v>
      </c>
      <c r="D50" s="31">
        <v>6</v>
      </c>
      <c r="E50" s="27">
        <f t="shared" si="3"/>
        <v>1207.8000000000002</v>
      </c>
    </row>
    <row r="51" spans="1:5" x14ac:dyDescent="0.25">
      <c r="A51" s="24">
        <f t="shared" si="4"/>
        <v>2750001</v>
      </c>
      <c r="B51" s="24">
        <f t="shared" si="5"/>
        <v>2800000</v>
      </c>
      <c r="C51" s="25">
        <f t="shared" si="6"/>
        <v>2047</v>
      </c>
      <c r="D51" s="31">
        <v>6</v>
      </c>
      <c r="E51" s="27">
        <f t="shared" si="3"/>
        <v>1228.1999999999998</v>
      </c>
    </row>
    <row r="52" spans="1:5" x14ac:dyDescent="0.25">
      <c r="A52" s="24">
        <f t="shared" si="4"/>
        <v>2800001</v>
      </c>
      <c r="B52" s="24">
        <f t="shared" si="5"/>
        <v>2850000</v>
      </c>
      <c r="C52" s="25">
        <f t="shared" si="6"/>
        <v>2081</v>
      </c>
      <c r="D52" s="31">
        <v>6</v>
      </c>
      <c r="E52" s="27">
        <f t="shared" si="3"/>
        <v>1248.5999999999999</v>
      </c>
    </row>
    <row r="53" spans="1:5" x14ac:dyDescent="0.25">
      <c r="A53" s="24">
        <f t="shared" si="4"/>
        <v>2850001</v>
      </c>
      <c r="B53" s="24">
        <f t="shared" si="5"/>
        <v>2900000</v>
      </c>
      <c r="C53" s="25">
        <f t="shared" si="6"/>
        <v>2115</v>
      </c>
      <c r="D53" s="31">
        <v>6</v>
      </c>
      <c r="E53" s="27">
        <f t="shared" si="3"/>
        <v>1269</v>
      </c>
    </row>
    <row r="54" spans="1:5" x14ac:dyDescent="0.25">
      <c r="A54" s="36">
        <f t="shared" si="4"/>
        <v>2900001</v>
      </c>
      <c r="B54" s="36">
        <f t="shared" si="5"/>
        <v>2950000</v>
      </c>
      <c r="C54" s="37">
        <f t="shared" si="6"/>
        <v>2149</v>
      </c>
      <c r="D54" s="31">
        <v>6</v>
      </c>
      <c r="E54" s="27">
        <f t="shared" si="3"/>
        <v>1289.4000000000001</v>
      </c>
    </row>
    <row r="55" spans="1:5" x14ac:dyDescent="0.25">
      <c r="A55" s="36">
        <f t="shared" si="4"/>
        <v>2950001</v>
      </c>
      <c r="B55" s="36">
        <f t="shared" si="5"/>
        <v>3000000</v>
      </c>
      <c r="C55" s="37">
        <f t="shared" si="6"/>
        <v>2183</v>
      </c>
      <c r="D55" s="31">
        <v>6</v>
      </c>
      <c r="E55" s="27">
        <f t="shared" si="3"/>
        <v>1309.8000000000002</v>
      </c>
    </row>
    <row r="56" spans="1:5" x14ac:dyDescent="0.25">
      <c r="A56" s="36">
        <f t="shared" si="4"/>
        <v>3000001</v>
      </c>
      <c r="B56" s="36">
        <f t="shared" si="5"/>
        <v>3050000</v>
      </c>
      <c r="C56" s="37">
        <f t="shared" si="6"/>
        <v>2217</v>
      </c>
      <c r="D56" s="31">
        <v>6</v>
      </c>
      <c r="E56" s="27">
        <f t="shared" si="3"/>
        <v>1330.1999999999998</v>
      </c>
    </row>
    <row r="57" spans="1:5" x14ac:dyDescent="0.25">
      <c r="A57" s="36">
        <f t="shared" si="4"/>
        <v>3050001</v>
      </c>
      <c r="B57" s="36">
        <f t="shared" si="5"/>
        <v>3100000</v>
      </c>
      <c r="C57" s="37">
        <f t="shared" si="6"/>
        <v>2251</v>
      </c>
      <c r="D57" s="31">
        <v>6</v>
      </c>
      <c r="E57" s="27">
        <f t="shared" si="3"/>
        <v>1350.6</v>
      </c>
    </row>
    <row r="58" spans="1:5" x14ac:dyDescent="0.25">
      <c r="A58" s="36">
        <f t="shared" si="4"/>
        <v>3100001</v>
      </c>
      <c r="B58" s="36">
        <f t="shared" si="5"/>
        <v>3150000</v>
      </c>
      <c r="C58" s="37">
        <f t="shared" si="6"/>
        <v>2285</v>
      </c>
      <c r="D58" s="31">
        <v>6</v>
      </c>
      <c r="E58" s="27">
        <f t="shared" si="3"/>
        <v>1371</v>
      </c>
    </row>
    <row r="59" spans="1:5" x14ac:dyDescent="0.25">
      <c r="A59" s="36">
        <f t="shared" si="4"/>
        <v>3150001</v>
      </c>
      <c r="B59" s="36">
        <f t="shared" si="5"/>
        <v>3200000</v>
      </c>
      <c r="C59" s="37">
        <f t="shared" si="6"/>
        <v>2319</v>
      </c>
      <c r="D59" s="31">
        <v>6</v>
      </c>
      <c r="E59" s="27">
        <f t="shared" si="3"/>
        <v>1391.4</v>
      </c>
    </row>
    <row r="60" spans="1:5" x14ac:dyDescent="0.25">
      <c r="A60" s="36">
        <f t="shared" si="4"/>
        <v>3200001</v>
      </c>
      <c r="B60" s="36">
        <f t="shared" si="5"/>
        <v>3250000</v>
      </c>
      <c r="C60" s="37">
        <f t="shared" si="6"/>
        <v>2353</v>
      </c>
      <c r="D60" s="31">
        <v>6</v>
      </c>
      <c r="E60" s="27">
        <f t="shared" si="3"/>
        <v>1411.8000000000002</v>
      </c>
    </row>
    <row r="61" spans="1:5" x14ac:dyDescent="0.25">
      <c r="A61" s="36">
        <f t="shared" si="4"/>
        <v>3250001</v>
      </c>
      <c r="B61" s="36">
        <f t="shared" si="5"/>
        <v>3300000</v>
      </c>
      <c r="C61" s="37">
        <f t="shared" si="6"/>
        <v>2387</v>
      </c>
      <c r="D61" s="31">
        <v>6</v>
      </c>
      <c r="E61" s="27">
        <f t="shared" si="3"/>
        <v>1432.1999999999998</v>
      </c>
    </row>
    <row r="62" spans="1:5" x14ac:dyDescent="0.25">
      <c r="A62" s="24">
        <f t="shared" ref="A62:A125" si="7">B61+1</f>
        <v>3300001</v>
      </c>
      <c r="B62" s="24">
        <f t="shared" si="5"/>
        <v>3350000</v>
      </c>
      <c r="C62" s="25">
        <f t="shared" si="6"/>
        <v>2421</v>
      </c>
      <c r="D62" s="31">
        <v>6</v>
      </c>
      <c r="E62" s="27">
        <f t="shared" ref="E62:E125" si="8">C62/10*D62</f>
        <v>1452.6</v>
      </c>
    </row>
    <row r="63" spans="1:5" x14ac:dyDescent="0.25">
      <c r="A63" s="24">
        <f t="shared" si="7"/>
        <v>3350001</v>
      </c>
      <c r="B63" s="24">
        <f t="shared" ref="B63:B126" si="9">B62+50000</f>
        <v>3400000</v>
      </c>
      <c r="C63" s="25">
        <f t="shared" si="6"/>
        <v>2455</v>
      </c>
      <c r="D63" s="31">
        <v>6</v>
      </c>
      <c r="E63" s="27">
        <f t="shared" si="8"/>
        <v>1473</v>
      </c>
    </row>
    <row r="64" spans="1:5" x14ac:dyDescent="0.25">
      <c r="A64" s="24">
        <f t="shared" si="7"/>
        <v>3400001</v>
      </c>
      <c r="B64" s="24">
        <f t="shared" si="9"/>
        <v>3450000</v>
      </c>
      <c r="C64" s="25">
        <f t="shared" si="6"/>
        <v>2489</v>
      </c>
      <c r="D64" s="31">
        <v>6</v>
      </c>
      <c r="E64" s="27">
        <f t="shared" si="8"/>
        <v>1493.4</v>
      </c>
    </row>
    <row r="65" spans="1:6" x14ac:dyDescent="0.25">
      <c r="A65" s="24">
        <f t="shared" si="7"/>
        <v>3450001</v>
      </c>
      <c r="B65" s="24">
        <f t="shared" si="9"/>
        <v>3500000</v>
      </c>
      <c r="C65" s="25">
        <f t="shared" si="6"/>
        <v>2523</v>
      </c>
      <c r="D65" s="31">
        <v>6</v>
      </c>
      <c r="E65" s="27">
        <f t="shared" si="8"/>
        <v>1513.8000000000002</v>
      </c>
    </row>
    <row r="66" spans="1:6" x14ac:dyDescent="0.25">
      <c r="A66" s="24">
        <f t="shared" si="7"/>
        <v>3500001</v>
      </c>
      <c r="B66" s="24">
        <f t="shared" si="9"/>
        <v>3550000</v>
      </c>
      <c r="C66" s="25">
        <f t="shared" si="6"/>
        <v>2557</v>
      </c>
      <c r="D66" s="31">
        <v>6</v>
      </c>
      <c r="E66" s="27">
        <f t="shared" si="8"/>
        <v>1534.1999999999998</v>
      </c>
    </row>
    <row r="67" spans="1:6" x14ac:dyDescent="0.25">
      <c r="A67" s="24">
        <f t="shared" si="7"/>
        <v>3550001</v>
      </c>
      <c r="B67" s="24">
        <f t="shared" si="9"/>
        <v>3600000</v>
      </c>
      <c r="C67" s="25">
        <f t="shared" si="6"/>
        <v>2591</v>
      </c>
      <c r="D67" s="31">
        <v>6</v>
      </c>
      <c r="E67" s="27">
        <f t="shared" si="8"/>
        <v>1554.6000000000001</v>
      </c>
    </row>
    <row r="68" spans="1:6" x14ac:dyDescent="0.25">
      <c r="A68" s="24">
        <f t="shared" si="7"/>
        <v>3600001</v>
      </c>
      <c r="B68" s="24">
        <f t="shared" si="9"/>
        <v>3650000</v>
      </c>
      <c r="C68" s="25">
        <f t="shared" si="6"/>
        <v>2625</v>
      </c>
      <c r="D68" s="31">
        <v>6</v>
      </c>
      <c r="E68" s="27">
        <f t="shared" si="8"/>
        <v>1575</v>
      </c>
    </row>
    <row r="69" spans="1:6" x14ac:dyDescent="0.25">
      <c r="A69" s="24">
        <f t="shared" si="7"/>
        <v>3650001</v>
      </c>
      <c r="B69" s="24">
        <f t="shared" si="9"/>
        <v>3700000</v>
      </c>
      <c r="C69" s="25">
        <f t="shared" si="6"/>
        <v>2659</v>
      </c>
      <c r="D69" s="31">
        <v>6</v>
      </c>
      <c r="E69" s="27">
        <f t="shared" si="8"/>
        <v>1595.3999999999999</v>
      </c>
    </row>
    <row r="70" spans="1:6" x14ac:dyDescent="0.25">
      <c r="A70" s="24">
        <f t="shared" si="7"/>
        <v>3700001</v>
      </c>
      <c r="B70" s="24">
        <f t="shared" si="9"/>
        <v>3750000</v>
      </c>
      <c r="C70" s="25">
        <f t="shared" ref="C70:C133" si="10">C69+34</f>
        <v>2693</v>
      </c>
      <c r="D70" s="31">
        <v>6</v>
      </c>
      <c r="E70" s="27">
        <f t="shared" si="8"/>
        <v>1615.8000000000002</v>
      </c>
    </row>
    <row r="71" spans="1:6" x14ac:dyDescent="0.25">
      <c r="A71" s="24">
        <f t="shared" si="7"/>
        <v>3750001</v>
      </c>
      <c r="B71" s="24">
        <f t="shared" si="9"/>
        <v>3800000</v>
      </c>
      <c r="C71" s="25">
        <f t="shared" si="10"/>
        <v>2727</v>
      </c>
      <c r="D71" s="31">
        <v>6</v>
      </c>
      <c r="E71" s="27">
        <f t="shared" si="8"/>
        <v>1636.1999999999998</v>
      </c>
    </row>
    <row r="72" spans="1:6" x14ac:dyDescent="0.25">
      <c r="A72" s="24">
        <f t="shared" si="7"/>
        <v>3800001</v>
      </c>
      <c r="B72" s="24">
        <f t="shared" si="9"/>
        <v>3850000</v>
      </c>
      <c r="C72" s="25">
        <f t="shared" si="10"/>
        <v>2761</v>
      </c>
      <c r="D72" s="31">
        <v>5</v>
      </c>
      <c r="E72" s="27">
        <f t="shared" si="8"/>
        <v>1380.5</v>
      </c>
      <c r="F72" s="45"/>
    </row>
    <row r="73" spans="1:6" x14ac:dyDescent="0.25">
      <c r="A73" s="24">
        <f t="shared" si="7"/>
        <v>3850001</v>
      </c>
      <c r="B73" s="24">
        <f t="shared" si="9"/>
        <v>3900000</v>
      </c>
      <c r="C73" s="25">
        <f t="shared" si="10"/>
        <v>2795</v>
      </c>
      <c r="D73" s="31">
        <v>6</v>
      </c>
      <c r="E73" s="27">
        <f t="shared" si="8"/>
        <v>1677</v>
      </c>
    </row>
    <row r="74" spans="1:6" x14ac:dyDescent="0.25">
      <c r="A74" s="24">
        <f t="shared" si="7"/>
        <v>3900001</v>
      </c>
      <c r="B74" s="24">
        <f t="shared" si="9"/>
        <v>3950000</v>
      </c>
      <c r="C74" s="25">
        <f t="shared" si="10"/>
        <v>2829</v>
      </c>
      <c r="D74" s="31">
        <v>6</v>
      </c>
      <c r="E74" s="27">
        <f t="shared" si="8"/>
        <v>1697.3999999999999</v>
      </c>
    </row>
    <row r="75" spans="1:6" x14ac:dyDescent="0.25">
      <c r="A75" s="24">
        <f t="shared" si="7"/>
        <v>3950001</v>
      </c>
      <c r="B75" s="24">
        <f t="shared" si="9"/>
        <v>4000000</v>
      </c>
      <c r="C75" s="25">
        <f t="shared" si="10"/>
        <v>2863</v>
      </c>
      <c r="D75" s="31">
        <v>6</v>
      </c>
      <c r="E75" s="27">
        <f t="shared" si="8"/>
        <v>1717.8000000000002</v>
      </c>
    </row>
    <row r="76" spans="1:6" x14ac:dyDescent="0.25">
      <c r="A76" s="24">
        <f t="shared" si="7"/>
        <v>4000001</v>
      </c>
      <c r="B76" s="24">
        <f t="shared" si="9"/>
        <v>4050000</v>
      </c>
      <c r="C76" s="25">
        <f t="shared" si="10"/>
        <v>2897</v>
      </c>
      <c r="D76" s="31">
        <v>6</v>
      </c>
      <c r="E76" s="27">
        <f t="shared" si="8"/>
        <v>1738.1999999999998</v>
      </c>
    </row>
    <row r="77" spans="1:6" x14ac:dyDescent="0.25">
      <c r="A77" s="24">
        <f t="shared" si="7"/>
        <v>4050001</v>
      </c>
      <c r="B77" s="24">
        <f t="shared" si="9"/>
        <v>4100000</v>
      </c>
      <c r="C77" s="25">
        <f t="shared" si="10"/>
        <v>2931</v>
      </c>
      <c r="D77" s="31">
        <v>6</v>
      </c>
      <c r="E77" s="27">
        <f t="shared" si="8"/>
        <v>1758.6000000000001</v>
      </c>
    </row>
    <row r="78" spans="1:6" x14ac:dyDescent="0.25">
      <c r="A78" s="24">
        <f t="shared" si="7"/>
        <v>4100001</v>
      </c>
      <c r="B78" s="24">
        <f t="shared" si="9"/>
        <v>4150000</v>
      </c>
      <c r="C78" s="25">
        <f t="shared" si="10"/>
        <v>2965</v>
      </c>
      <c r="D78" s="31">
        <v>6</v>
      </c>
      <c r="E78" s="27">
        <f t="shared" si="8"/>
        <v>1779</v>
      </c>
    </row>
    <row r="79" spans="1:6" x14ac:dyDescent="0.25">
      <c r="A79" s="24">
        <f t="shared" si="7"/>
        <v>4150001</v>
      </c>
      <c r="B79" s="24">
        <f t="shared" si="9"/>
        <v>4200000</v>
      </c>
      <c r="C79" s="25">
        <f t="shared" si="10"/>
        <v>2999</v>
      </c>
      <c r="D79" s="31">
        <v>6</v>
      </c>
      <c r="E79" s="27">
        <f t="shared" si="8"/>
        <v>1799.3999999999999</v>
      </c>
    </row>
    <row r="80" spans="1:6" x14ac:dyDescent="0.25">
      <c r="A80" s="24">
        <f t="shared" si="7"/>
        <v>4200001</v>
      </c>
      <c r="B80" s="24">
        <f t="shared" si="9"/>
        <v>4250000</v>
      </c>
      <c r="C80" s="25">
        <f t="shared" si="10"/>
        <v>3033</v>
      </c>
      <c r="D80" s="31">
        <v>6</v>
      </c>
      <c r="E80" s="27">
        <f t="shared" si="8"/>
        <v>1819.8000000000002</v>
      </c>
    </row>
    <row r="81" spans="1:5" x14ac:dyDescent="0.25">
      <c r="A81" s="24">
        <f t="shared" si="7"/>
        <v>4250001</v>
      </c>
      <c r="B81" s="24">
        <f t="shared" si="9"/>
        <v>4300000</v>
      </c>
      <c r="C81" s="25">
        <f t="shared" si="10"/>
        <v>3067</v>
      </c>
      <c r="D81" s="31">
        <v>6</v>
      </c>
      <c r="E81" s="27">
        <f t="shared" si="8"/>
        <v>1840.1999999999998</v>
      </c>
    </row>
    <row r="82" spans="1:5" x14ac:dyDescent="0.25">
      <c r="A82" s="24">
        <f t="shared" si="7"/>
        <v>4300001</v>
      </c>
      <c r="B82" s="24">
        <f t="shared" si="9"/>
        <v>4350000</v>
      </c>
      <c r="C82" s="25">
        <f t="shared" si="10"/>
        <v>3101</v>
      </c>
      <c r="D82" s="31">
        <v>6</v>
      </c>
      <c r="E82" s="27">
        <f t="shared" si="8"/>
        <v>1860.6000000000001</v>
      </c>
    </row>
    <row r="83" spans="1:5" x14ac:dyDescent="0.25">
      <c r="A83" s="24">
        <f t="shared" si="7"/>
        <v>4350001</v>
      </c>
      <c r="B83" s="24">
        <f t="shared" si="9"/>
        <v>4400000</v>
      </c>
      <c r="C83" s="25">
        <f t="shared" si="10"/>
        <v>3135</v>
      </c>
      <c r="D83" s="31">
        <v>6</v>
      </c>
      <c r="E83" s="27">
        <f t="shared" si="8"/>
        <v>1881</v>
      </c>
    </row>
    <row r="84" spans="1:5" x14ac:dyDescent="0.25">
      <c r="A84" s="24">
        <f t="shared" si="7"/>
        <v>4400001</v>
      </c>
      <c r="B84" s="24">
        <f t="shared" si="9"/>
        <v>4450000</v>
      </c>
      <c r="C84" s="25">
        <f t="shared" si="10"/>
        <v>3169</v>
      </c>
      <c r="D84" s="31">
        <v>6</v>
      </c>
      <c r="E84" s="27">
        <f t="shared" si="8"/>
        <v>1901.3999999999999</v>
      </c>
    </row>
    <row r="85" spans="1:5" x14ac:dyDescent="0.25">
      <c r="A85" s="24">
        <f t="shared" si="7"/>
        <v>4450001</v>
      </c>
      <c r="B85" s="24">
        <f t="shared" si="9"/>
        <v>4500000</v>
      </c>
      <c r="C85" s="25">
        <f t="shared" si="10"/>
        <v>3203</v>
      </c>
      <c r="D85" s="31">
        <v>6</v>
      </c>
      <c r="E85" s="27">
        <f t="shared" si="8"/>
        <v>1921.8000000000002</v>
      </c>
    </row>
    <row r="86" spans="1:5" x14ac:dyDescent="0.25">
      <c r="A86" s="24">
        <f t="shared" si="7"/>
        <v>4500001</v>
      </c>
      <c r="B86" s="24">
        <f t="shared" si="9"/>
        <v>4550000</v>
      </c>
      <c r="C86" s="25">
        <f t="shared" si="10"/>
        <v>3237</v>
      </c>
      <c r="D86" s="31">
        <v>6</v>
      </c>
      <c r="E86" s="27">
        <f t="shared" si="8"/>
        <v>1942.1999999999998</v>
      </c>
    </row>
    <row r="87" spans="1:5" x14ac:dyDescent="0.25">
      <c r="A87" s="24">
        <f t="shared" si="7"/>
        <v>4550001</v>
      </c>
      <c r="B87" s="24">
        <f t="shared" si="9"/>
        <v>4600000</v>
      </c>
      <c r="C87" s="25">
        <f t="shared" si="10"/>
        <v>3271</v>
      </c>
      <c r="D87" s="31">
        <v>6</v>
      </c>
      <c r="E87" s="27">
        <f t="shared" si="8"/>
        <v>1962.6000000000001</v>
      </c>
    </row>
    <row r="88" spans="1:5" x14ac:dyDescent="0.25">
      <c r="A88" s="24">
        <f t="shared" si="7"/>
        <v>4600001</v>
      </c>
      <c r="B88" s="24">
        <f t="shared" si="9"/>
        <v>4650000</v>
      </c>
      <c r="C88" s="25">
        <f t="shared" si="10"/>
        <v>3305</v>
      </c>
      <c r="D88" s="31">
        <v>6</v>
      </c>
      <c r="E88" s="27">
        <f t="shared" si="8"/>
        <v>1983</v>
      </c>
    </row>
    <row r="89" spans="1:5" x14ac:dyDescent="0.25">
      <c r="A89" s="24">
        <f t="shared" si="7"/>
        <v>4650001</v>
      </c>
      <c r="B89" s="24">
        <f t="shared" si="9"/>
        <v>4700000</v>
      </c>
      <c r="C89" s="25">
        <f t="shared" si="10"/>
        <v>3339</v>
      </c>
      <c r="D89" s="31">
        <v>6</v>
      </c>
      <c r="E89" s="27">
        <f t="shared" si="8"/>
        <v>2003.3999999999999</v>
      </c>
    </row>
    <row r="90" spans="1:5" x14ac:dyDescent="0.25">
      <c r="A90" s="24">
        <f t="shared" si="7"/>
        <v>4700001</v>
      </c>
      <c r="B90" s="24">
        <f t="shared" si="9"/>
        <v>4750000</v>
      </c>
      <c r="C90" s="25">
        <f t="shared" si="10"/>
        <v>3373</v>
      </c>
      <c r="D90" s="31">
        <v>6</v>
      </c>
      <c r="E90" s="27">
        <f t="shared" si="8"/>
        <v>2023.8000000000002</v>
      </c>
    </row>
    <row r="91" spans="1:5" x14ac:dyDescent="0.25">
      <c r="A91" s="24">
        <f t="shared" si="7"/>
        <v>4750001</v>
      </c>
      <c r="B91" s="24">
        <f t="shared" si="9"/>
        <v>4800000</v>
      </c>
      <c r="C91" s="25">
        <f t="shared" si="10"/>
        <v>3407</v>
      </c>
      <c r="D91" s="31">
        <v>6</v>
      </c>
      <c r="E91" s="27">
        <f t="shared" si="8"/>
        <v>2044.1999999999998</v>
      </c>
    </row>
    <row r="92" spans="1:5" x14ac:dyDescent="0.25">
      <c r="A92" s="24">
        <f t="shared" si="7"/>
        <v>4800001</v>
      </c>
      <c r="B92" s="24">
        <f t="shared" si="9"/>
        <v>4850000</v>
      </c>
      <c r="C92" s="25">
        <f t="shared" si="10"/>
        <v>3441</v>
      </c>
      <c r="D92" s="31">
        <v>6</v>
      </c>
      <c r="E92" s="27">
        <f t="shared" si="8"/>
        <v>2064.6000000000004</v>
      </c>
    </row>
    <row r="93" spans="1:5" x14ac:dyDescent="0.25">
      <c r="A93" s="24">
        <f t="shared" si="7"/>
        <v>4850001</v>
      </c>
      <c r="B93" s="24">
        <f t="shared" si="9"/>
        <v>4900000</v>
      </c>
      <c r="C93" s="25">
        <f t="shared" si="10"/>
        <v>3475</v>
      </c>
      <c r="D93" s="31">
        <v>6</v>
      </c>
      <c r="E93" s="27">
        <f t="shared" si="8"/>
        <v>2085</v>
      </c>
    </row>
    <row r="94" spans="1:5" x14ac:dyDescent="0.25">
      <c r="A94" s="24">
        <f t="shared" si="7"/>
        <v>4900001</v>
      </c>
      <c r="B94" s="24">
        <f t="shared" si="9"/>
        <v>4950000</v>
      </c>
      <c r="C94" s="25">
        <f t="shared" si="10"/>
        <v>3509</v>
      </c>
      <c r="D94" s="31">
        <v>6</v>
      </c>
      <c r="E94" s="27">
        <f t="shared" si="8"/>
        <v>2105.3999999999996</v>
      </c>
    </row>
    <row r="95" spans="1:5" x14ac:dyDescent="0.25">
      <c r="A95" s="24">
        <f t="shared" si="7"/>
        <v>4950001</v>
      </c>
      <c r="B95" s="24">
        <f t="shared" si="9"/>
        <v>5000000</v>
      </c>
      <c r="C95" s="25">
        <f t="shared" si="10"/>
        <v>3543</v>
      </c>
      <c r="D95" s="31">
        <v>6</v>
      </c>
      <c r="E95" s="27">
        <f t="shared" si="8"/>
        <v>2125.8000000000002</v>
      </c>
    </row>
    <row r="96" spans="1:5" x14ac:dyDescent="0.25">
      <c r="A96" s="24">
        <f t="shared" si="7"/>
        <v>5000001</v>
      </c>
      <c r="B96" s="24">
        <f t="shared" si="9"/>
        <v>5050000</v>
      </c>
      <c r="C96" s="25">
        <f t="shared" si="10"/>
        <v>3577</v>
      </c>
      <c r="D96" s="31">
        <v>6</v>
      </c>
      <c r="E96" s="27">
        <f t="shared" si="8"/>
        <v>2146.1999999999998</v>
      </c>
    </row>
    <row r="97" spans="1:5" x14ac:dyDescent="0.25">
      <c r="A97" s="24">
        <f t="shared" si="7"/>
        <v>5050001</v>
      </c>
      <c r="B97" s="24">
        <f t="shared" si="9"/>
        <v>5100000</v>
      </c>
      <c r="C97" s="25">
        <f t="shared" si="10"/>
        <v>3611</v>
      </c>
      <c r="D97" s="31">
        <v>6</v>
      </c>
      <c r="E97" s="27">
        <f t="shared" si="8"/>
        <v>2166.6000000000004</v>
      </c>
    </row>
    <row r="98" spans="1:5" x14ac:dyDescent="0.25">
      <c r="A98" s="24">
        <f t="shared" si="7"/>
        <v>5100001</v>
      </c>
      <c r="B98" s="24">
        <f t="shared" si="9"/>
        <v>5150000</v>
      </c>
      <c r="C98" s="25">
        <f t="shared" si="10"/>
        <v>3645</v>
      </c>
      <c r="D98" s="31">
        <v>6</v>
      </c>
      <c r="E98" s="27">
        <f t="shared" si="8"/>
        <v>2187</v>
      </c>
    </row>
    <row r="99" spans="1:5" x14ac:dyDescent="0.25">
      <c r="A99" s="24">
        <f t="shared" si="7"/>
        <v>5150001</v>
      </c>
      <c r="B99" s="24">
        <f t="shared" si="9"/>
        <v>5200000</v>
      </c>
      <c r="C99" s="25">
        <f t="shared" si="10"/>
        <v>3679</v>
      </c>
      <c r="D99" s="31">
        <v>6</v>
      </c>
      <c r="E99" s="27">
        <f t="shared" si="8"/>
        <v>2207.3999999999996</v>
      </c>
    </row>
    <row r="100" spans="1:5" x14ac:dyDescent="0.25">
      <c r="A100" s="24">
        <f t="shared" si="7"/>
        <v>5200001</v>
      </c>
      <c r="B100" s="24">
        <f t="shared" si="9"/>
        <v>5250000</v>
      </c>
      <c r="C100" s="25">
        <f t="shared" si="10"/>
        <v>3713</v>
      </c>
      <c r="D100" s="31">
        <v>6</v>
      </c>
      <c r="E100" s="27">
        <f t="shared" si="8"/>
        <v>2227.8000000000002</v>
      </c>
    </row>
    <row r="101" spans="1:5" x14ac:dyDescent="0.25">
      <c r="A101" s="24">
        <f t="shared" si="7"/>
        <v>5250001</v>
      </c>
      <c r="B101" s="24">
        <f t="shared" si="9"/>
        <v>5300000</v>
      </c>
      <c r="C101" s="25">
        <f t="shared" si="10"/>
        <v>3747</v>
      </c>
      <c r="D101" s="31">
        <v>6</v>
      </c>
      <c r="E101" s="27">
        <f t="shared" si="8"/>
        <v>2248.1999999999998</v>
      </c>
    </row>
    <row r="102" spans="1:5" x14ac:dyDescent="0.25">
      <c r="A102" s="24">
        <f t="shared" si="7"/>
        <v>5300001</v>
      </c>
      <c r="B102" s="24">
        <f t="shared" si="9"/>
        <v>5350000</v>
      </c>
      <c r="C102" s="25">
        <f t="shared" si="10"/>
        <v>3781</v>
      </c>
      <c r="D102" s="31">
        <v>6</v>
      </c>
      <c r="E102" s="27">
        <f t="shared" si="8"/>
        <v>2268.6000000000004</v>
      </c>
    </row>
    <row r="103" spans="1:5" x14ac:dyDescent="0.25">
      <c r="A103" s="24">
        <f t="shared" si="7"/>
        <v>5350001</v>
      </c>
      <c r="B103" s="24">
        <f t="shared" si="9"/>
        <v>5400000</v>
      </c>
      <c r="C103" s="25">
        <f t="shared" si="10"/>
        <v>3815</v>
      </c>
      <c r="D103" s="31">
        <v>6</v>
      </c>
      <c r="E103" s="27">
        <f t="shared" si="8"/>
        <v>2289</v>
      </c>
    </row>
    <row r="104" spans="1:5" x14ac:dyDescent="0.25">
      <c r="A104" s="24">
        <f t="shared" si="7"/>
        <v>5400001</v>
      </c>
      <c r="B104" s="24">
        <f t="shared" si="9"/>
        <v>5450000</v>
      </c>
      <c r="C104" s="25">
        <f t="shared" si="10"/>
        <v>3849</v>
      </c>
      <c r="D104" s="31">
        <v>6</v>
      </c>
      <c r="E104" s="27">
        <f t="shared" si="8"/>
        <v>2309.3999999999996</v>
      </c>
    </row>
    <row r="105" spans="1:5" x14ac:dyDescent="0.25">
      <c r="A105" s="24">
        <f t="shared" si="7"/>
        <v>5450001</v>
      </c>
      <c r="B105" s="24">
        <f t="shared" si="9"/>
        <v>5500000</v>
      </c>
      <c r="C105" s="25">
        <f t="shared" si="10"/>
        <v>3883</v>
      </c>
      <c r="D105" s="31">
        <v>6</v>
      </c>
      <c r="E105" s="27">
        <f t="shared" si="8"/>
        <v>2329.8000000000002</v>
      </c>
    </row>
    <row r="106" spans="1:5" x14ac:dyDescent="0.25">
      <c r="A106" s="24">
        <f t="shared" si="7"/>
        <v>5500001</v>
      </c>
      <c r="B106" s="24">
        <f t="shared" si="9"/>
        <v>5550000</v>
      </c>
      <c r="C106" s="25">
        <f t="shared" si="10"/>
        <v>3917</v>
      </c>
      <c r="D106" s="31">
        <v>6</v>
      </c>
      <c r="E106" s="27">
        <f t="shared" si="8"/>
        <v>2350.1999999999998</v>
      </c>
    </row>
    <row r="107" spans="1:5" x14ac:dyDescent="0.25">
      <c r="A107" s="24">
        <f t="shared" si="7"/>
        <v>5550001</v>
      </c>
      <c r="B107" s="24">
        <f t="shared" si="9"/>
        <v>5600000</v>
      </c>
      <c r="C107" s="25">
        <f t="shared" si="10"/>
        <v>3951</v>
      </c>
      <c r="D107" s="31">
        <v>6</v>
      </c>
      <c r="E107" s="27">
        <f t="shared" si="8"/>
        <v>2370.6000000000004</v>
      </c>
    </row>
    <row r="108" spans="1:5" x14ac:dyDescent="0.25">
      <c r="A108" s="24">
        <f t="shared" si="7"/>
        <v>5600001</v>
      </c>
      <c r="B108" s="24">
        <f t="shared" si="9"/>
        <v>5650000</v>
      </c>
      <c r="C108" s="25">
        <f t="shared" si="10"/>
        <v>3985</v>
      </c>
      <c r="D108" s="31">
        <v>6</v>
      </c>
      <c r="E108" s="27">
        <f t="shared" si="8"/>
        <v>2391</v>
      </c>
    </row>
    <row r="109" spans="1:5" x14ac:dyDescent="0.25">
      <c r="A109" s="24">
        <f t="shared" si="7"/>
        <v>5650001</v>
      </c>
      <c r="B109" s="24">
        <f t="shared" si="9"/>
        <v>5700000</v>
      </c>
      <c r="C109" s="25">
        <f t="shared" si="10"/>
        <v>4019</v>
      </c>
      <c r="D109" s="31">
        <v>6</v>
      </c>
      <c r="E109" s="27">
        <f t="shared" si="8"/>
        <v>2411.3999999999996</v>
      </c>
    </row>
    <row r="110" spans="1:5" x14ac:dyDescent="0.25">
      <c r="A110" s="24">
        <f t="shared" si="7"/>
        <v>5700001</v>
      </c>
      <c r="B110" s="24">
        <f t="shared" si="9"/>
        <v>5750000</v>
      </c>
      <c r="C110" s="25">
        <f t="shared" si="10"/>
        <v>4053</v>
      </c>
      <c r="D110" s="31">
        <v>6</v>
      </c>
      <c r="E110" s="27">
        <f t="shared" si="8"/>
        <v>2431.8000000000002</v>
      </c>
    </row>
    <row r="111" spans="1:5" x14ac:dyDescent="0.25">
      <c r="A111" s="24">
        <f t="shared" si="7"/>
        <v>5750001</v>
      </c>
      <c r="B111" s="24">
        <f t="shared" si="9"/>
        <v>5800000</v>
      </c>
      <c r="C111" s="25">
        <f t="shared" si="10"/>
        <v>4087</v>
      </c>
      <c r="D111" s="31">
        <v>6</v>
      </c>
      <c r="E111" s="27">
        <f t="shared" si="8"/>
        <v>2452.1999999999998</v>
      </c>
    </row>
    <row r="112" spans="1:5" x14ac:dyDescent="0.25">
      <c r="A112" s="24">
        <f t="shared" si="7"/>
        <v>5800001</v>
      </c>
      <c r="B112" s="24">
        <f t="shared" si="9"/>
        <v>5850000</v>
      </c>
      <c r="C112" s="25">
        <f t="shared" si="10"/>
        <v>4121</v>
      </c>
      <c r="D112" s="31">
        <v>6</v>
      </c>
      <c r="E112" s="27">
        <f t="shared" si="8"/>
        <v>2472.6000000000004</v>
      </c>
    </row>
    <row r="113" spans="1:5" x14ac:dyDescent="0.25">
      <c r="A113" s="24">
        <f t="shared" si="7"/>
        <v>5850001</v>
      </c>
      <c r="B113" s="24">
        <f t="shared" si="9"/>
        <v>5900000</v>
      </c>
      <c r="C113" s="25">
        <f t="shared" si="10"/>
        <v>4155</v>
      </c>
      <c r="D113" s="31">
        <v>6</v>
      </c>
      <c r="E113" s="27">
        <f t="shared" si="8"/>
        <v>2493</v>
      </c>
    </row>
    <row r="114" spans="1:5" x14ac:dyDescent="0.25">
      <c r="A114" s="24">
        <f t="shared" si="7"/>
        <v>5900001</v>
      </c>
      <c r="B114" s="24">
        <f t="shared" si="9"/>
        <v>5950000</v>
      </c>
      <c r="C114" s="25">
        <f t="shared" si="10"/>
        <v>4189</v>
      </c>
      <c r="D114" s="31">
        <v>6</v>
      </c>
      <c r="E114" s="27">
        <f t="shared" si="8"/>
        <v>2513.3999999999996</v>
      </c>
    </row>
    <row r="115" spans="1:5" x14ac:dyDescent="0.25">
      <c r="A115" s="24">
        <f t="shared" si="7"/>
        <v>5950001</v>
      </c>
      <c r="B115" s="24">
        <f t="shared" si="9"/>
        <v>6000000</v>
      </c>
      <c r="C115" s="25">
        <f t="shared" si="10"/>
        <v>4223</v>
      </c>
      <c r="D115" s="31">
        <v>6</v>
      </c>
      <c r="E115" s="27">
        <f t="shared" si="8"/>
        <v>2533.8000000000002</v>
      </c>
    </row>
    <row r="116" spans="1:5" x14ac:dyDescent="0.25">
      <c r="A116" s="24">
        <f t="shared" si="7"/>
        <v>6000001</v>
      </c>
      <c r="B116" s="24">
        <f t="shared" si="9"/>
        <v>6050000</v>
      </c>
      <c r="C116" s="25">
        <f t="shared" si="10"/>
        <v>4257</v>
      </c>
      <c r="D116" s="31">
        <v>6</v>
      </c>
      <c r="E116" s="27">
        <f t="shared" si="8"/>
        <v>2554.1999999999998</v>
      </c>
    </row>
    <row r="117" spans="1:5" x14ac:dyDescent="0.25">
      <c r="A117" s="24">
        <f t="shared" si="7"/>
        <v>6050001</v>
      </c>
      <c r="B117" s="24">
        <f t="shared" si="9"/>
        <v>6100000</v>
      </c>
      <c r="C117" s="25">
        <f t="shared" si="10"/>
        <v>4291</v>
      </c>
      <c r="D117" s="31">
        <v>6</v>
      </c>
      <c r="E117" s="27">
        <f t="shared" si="8"/>
        <v>2574.6000000000004</v>
      </c>
    </row>
    <row r="118" spans="1:5" x14ac:dyDescent="0.25">
      <c r="A118" s="24">
        <f t="shared" si="7"/>
        <v>6100001</v>
      </c>
      <c r="B118" s="24">
        <f t="shared" si="9"/>
        <v>6150000</v>
      </c>
      <c r="C118" s="25">
        <f t="shared" si="10"/>
        <v>4325</v>
      </c>
      <c r="D118" s="31">
        <v>6</v>
      </c>
      <c r="E118" s="27">
        <f t="shared" si="8"/>
        <v>2595</v>
      </c>
    </row>
    <row r="119" spans="1:5" x14ac:dyDescent="0.25">
      <c r="A119" s="24">
        <f t="shared" si="7"/>
        <v>6150001</v>
      </c>
      <c r="B119" s="24">
        <f t="shared" si="9"/>
        <v>6200000</v>
      </c>
      <c r="C119" s="25">
        <f t="shared" si="10"/>
        <v>4359</v>
      </c>
      <c r="D119" s="31">
        <v>6</v>
      </c>
      <c r="E119" s="27">
        <f t="shared" si="8"/>
        <v>2615.3999999999996</v>
      </c>
    </row>
    <row r="120" spans="1:5" x14ac:dyDescent="0.25">
      <c r="A120" s="24">
        <f t="shared" si="7"/>
        <v>6200001</v>
      </c>
      <c r="B120" s="24">
        <f t="shared" si="9"/>
        <v>6250000</v>
      </c>
      <c r="C120" s="25">
        <f t="shared" si="10"/>
        <v>4393</v>
      </c>
      <c r="D120" s="31">
        <v>6</v>
      </c>
      <c r="E120" s="27">
        <f t="shared" si="8"/>
        <v>2635.8</v>
      </c>
    </row>
    <row r="121" spans="1:5" x14ac:dyDescent="0.25">
      <c r="A121" s="24">
        <f t="shared" si="7"/>
        <v>6250001</v>
      </c>
      <c r="B121" s="24">
        <f t="shared" si="9"/>
        <v>6300000</v>
      </c>
      <c r="C121" s="25">
        <f t="shared" si="10"/>
        <v>4427</v>
      </c>
      <c r="D121" s="31">
        <v>6</v>
      </c>
      <c r="E121" s="27">
        <f t="shared" si="8"/>
        <v>2656.2</v>
      </c>
    </row>
    <row r="122" spans="1:5" x14ac:dyDescent="0.25">
      <c r="A122" s="24">
        <f t="shared" si="7"/>
        <v>6300001</v>
      </c>
      <c r="B122" s="24">
        <f t="shared" si="9"/>
        <v>6350000</v>
      </c>
      <c r="C122" s="25">
        <f t="shared" si="10"/>
        <v>4461</v>
      </c>
      <c r="D122" s="31">
        <v>6</v>
      </c>
      <c r="E122" s="27">
        <f t="shared" si="8"/>
        <v>2676.6000000000004</v>
      </c>
    </row>
    <row r="123" spans="1:5" x14ac:dyDescent="0.25">
      <c r="A123" s="24">
        <f t="shared" si="7"/>
        <v>6350001</v>
      </c>
      <c r="B123" s="24">
        <f t="shared" si="9"/>
        <v>6400000</v>
      </c>
      <c r="C123" s="25">
        <f t="shared" si="10"/>
        <v>4495</v>
      </c>
      <c r="D123" s="31">
        <v>6</v>
      </c>
      <c r="E123" s="27">
        <f t="shared" si="8"/>
        <v>2697</v>
      </c>
    </row>
    <row r="124" spans="1:5" x14ac:dyDescent="0.25">
      <c r="A124" s="24">
        <f t="shared" si="7"/>
        <v>6400001</v>
      </c>
      <c r="B124" s="24">
        <f t="shared" si="9"/>
        <v>6450000</v>
      </c>
      <c r="C124" s="25">
        <f t="shared" si="10"/>
        <v>4529</v>
      </c>
      <c r="D124" s="31">
        <v>6</v>
      </c>
      <c r="E124" s="27">
        <f t="shared" si="8"/>
        <v>2717.3999999999996</v>
      </c>
    </row>
    <row r="125" spans="1:5" x14ac:dyDescent="0.25">
      <c r="A125" s="24">
        <f t="shared" si="7"/>
        <v>6450001</v>
      </c>
      <c r="B125" s="24">
        <f t="shared" si="9"/>
        <v>6500000</v>
      </c>
      <c r="C125" s="25">
        <f t="shared" si="10"/>
        <v>4563</v>
      </c>
      <c r="D125" s="31">
        <v>6</v>
      </c>
      <c r="E125" s="27">
        <f t="shared" si="8"/>
        <v>2737.8</v>
      </c>
    </row>
    <row r="126" spans="1:5" x14ac:dyDescent="0.25">
      <c r="A126" s="24">
        <f t="shared" ref="A126:A189" si="11">B125+1</f>
        <v>6500001</v>
      </c>
      <c r="B126" s="24">
        <f t="shared" si="9"/>
        <v>6550000</v>
      </c>
      <c r="C126" s="25">
        <f t="shared" si="10"/>
        <v>4597</v>
      </c>
      <c r="D126" s="31">
        <v>6</v>
      </c>
      <c r="E126" s="27">
        <f t="shared" ref="E126:E189" si="12">C126/10*D126</f>
        <v>2758.2</v>
      </c>
    </row>
    <row r="127" spans="1:5" x14ac:dyDescent="0.25">
      <c r="A127" s="24">
        <f t="shared" si="11"/>
        <v>6550001</v>
      </c>
      <c r="B127" s="24">
        <f t="shared" ref="B127:B190" si="13">B126+50000</f>
        <v>6600000</v>
      </c>
      <c r="C127" s="25">
        <f t="shared" si="10"/>
        <v>4631</v>
      </c>
      <c r="D127" s="31">
        <v>6</v>
      </c>
      <c r="E127" s="27">
        <f t="shared" si="12"/>
        <v>2778.6000000000004</v>
      </c>
    </row>
    <row r="128" spans="1:5" x14ac:dyDescent="0.25">
      <c r="A128" s="24">
        <f t="shared" si="11"/>
        <v>6600001</v>
      </c>
      <c r="B128" s="24">
        <f t="shared" si="13"/>
        <v>6650000</v>
      </c>
      <c r="C128" s="25">
        <f t="shared" si="10"/>
        <v>4665</v>
      </c>
      <c r="D128" s="31">
        <v>6</v>
      </c>
      <c r="E128" s="27">
        <f t="shared" si="12"/>
        <v>2799</v>
      </c>
    </row>
    <row r="129" spans="1:5" x14ac:dyDescent="0.25">
      <c r="A129" s="24">
        <f t="shared" si="11"/>
        <v>6650001</v>
      </c>
      <c r="B129" s="24">
        <f t="shared" si="13"/>
        <v>6700000</v>
      </c>
      <c r="C129" s="25">
        <f t="shared" si="10"/>
        <v>4699</v>
      </c>
      <c r="D129" s="31">
        <v>6</v>
      </c>
      <c r="E129" s="27">
        <f t="shared" si="12"/>
        <v>2819.3999999999996</v>
      </c>
    </row>
    <row r="130" spans="1:5" x14ac:dyDescent="0.25">
      <c r="A130" s="24">
        <f t="shared" si="11"/>
        <v>6700001</v>
      </c>
      <c r="B130" s="24">
        <f t="shared" si="13"/>
        <v>6750000</v>
      </c>
      <c r="C130" s="25">
        <f t="shared" si="10"/>
        <v>4733</v>
      </c>
      <c r="D130" s="31">
        <v>6</v>
      </c>
      <c r="E130" s="27">
        <f t="shared" si="12"/>
        <v>2839.8</v>
      </c>
    </row>
    <row r="131" spans="1:5" x14ac:dyDescent="0.25">
      <c r="A131" s="24">
        <f t="shared" si="11"/>
        <v>6750001</v>
      </c>
      <c r="B131" s="24">
        <f t="shared" si="13"/>
        <v>6800000</v>
      </c>
      <c r="C131" s="25">
        <f t="shared" si="10"/>
        <v>4767</v>
      </c>
      <c r="D131" s="31">
        <v>6</v>
      </c>
      <c r="E131" s="27">
        <f t="shared" si="12"/>
        <v>2860.2</v>
      </c>
    </row>
    <row r="132" spans="1:5" x14ac:dyDescent="0.25">
      <c r="A132" s="24">
        <f t="shared" si="11"/>
        <v>6800001</v>
      </c>
      <c r="B132" s="24">
        <f t="shared" si="13"/>
        <v>6850000</v>
      </c>
      <c r="C132" s="25">
        <f t="shared" si="10"/>
        <v>4801</v>
      </c>
      <c r="D132" s="31">
        <v>6</v>
      </c>
      <c r="E132" s="27">
        <f t="shared" si="12"/>
        <v>2880.6000000000004</v>
      </c>
    </row>
    <row r="133" spans="1:5" x14ac:dyDescent="0.25">
      <c r="A133" s="24">
        <f t="shared" si="11"/>
        <v>6850001</v>
      </c>
      <c r="B133" s="24">
        <f t="shared" si="13"/>
        <v>6900000</v>
      </c>
      <c r="C133" s="25">
        <f t="shared" si="10"/>
        <v>4835</v>
      </c>
      <c r="D133" s="31">
        <v>6</v>
      </c>
      <c r="E133" s="27">
        <f t="shared" si="12"/>
        <v>2901</v>
      </c>
    </row>
    <row r="134" spans="1:5" x14ac:dyDescent="0.25">
      <c r="A134" s="24">
        <f t="shared" si="11"/>
        <v>6900001</v>
      </c>
      <c r="B134" s="24">
        <f t="shared" si="13"/>
        <v>6950000</v>
      </c>
      <c r="C134" s="25">
        <f t="shared" ref="C134:C197" si="14">C133+34</f>
        <v>4869</v>
      </c>
      <c r="D134" s="31">
        <v>6</v>
      </c>
      <c r="E134" s="27">
        <f t="shared" si="12"/>
        <v>2921.3999999999996</v>
      </c>
    </row>
    <row r="135" spans="1:5" x14ac:dyDescent="0.25">
      <c r="A135" s="24">
        <f t="shared" si="11"/>
        <v>6950001</v>
      </c>
      <c r="B135" s="24">
        <f t="shared" si="13"/>
        <v>7000000</v>
      </c>
      <c r="C135" s="25">
        <f t="shared" si="14"/>
        <v>4903</v>
      </c>
      <c r="D135" s="31">
        <v>6</v>
      </c>
      <c r="E135" s="27">
        <f t="shared" si="12"/>
        <v>2941.8</v>
      </c>
    </row>
    <row r="136" spans="1:5" x14ac:dyDescent="0.25">
      <c r="A136" s="24">
        <f t="shared" si="11"/>
        <v>7000001</v>
      </c>
      <c r="B136" s="24">
        <f t="shared" si="13"/>
        <v>7050000</v>
      </c>
      <c r="C136" s="25">
        <f t="shared" si="14"/>
        <v>4937</v>
      </c>
      <c r="D136" s="31">
        <v>6</v>
      </c>
      <c r="E136" s="27">
        <f t="shared" si="12"/>
        <v>2962.2</v>
      </c>
    </row>
    <row r="137" spans="1:5" x14ac:dyDescent="0.25">
      <c r="A137" s="24">
        <f t="shared" si="11"/>
        <v>7050001</v>
      </c>
      <c r="B137" s="24">
        <f t="shared" si="13"/>
        <v>7100000</v>
      </c>
      <c r="C137" s="25">
        <f t="shared" si="14"/>
        <v>4971</v>
      </c>
      <c r="D137" s="31">
        <v>6</v>
      </c>
      <c r="E137" s="27">
        <f t="shared" si="12"/>
        <v>2982.6000000000004</v>
      </c>
    </row>
    <row r="138" spans="1:5" x14ac:dyDescent="0.25">
      <c r="A138" s="24">
        <f t="shared" si="11"/>
        <v>7100001</v>
      </c>
      <c r="B138" s="24">
        <f t="shared" si="13"/>
        <v>7150000</v>
      </c>
      <c r="C138" s="25">
        <f t="shared" si="14"/>
        <v>5005</v>
      </c>
      <c r="D138" s="31">
        <v>6</v>
      </c>
      <c r="E138" s="27">
        <f t="shared" si="12"/>
        <v>3003</v>
      </c>
    </row>
    <row r="139" spans="1:5" x14ac:dyDescent="0.25">
      <c r="A139" s="24">
        <f t="shared" si="11"/>
        <v>7150001</v>
      </c>
      <c r="B139" s="24">
        <f t="shared" si="13"/>
        <v>7200000</v>
      </c>
      <c r="C139" s="25">
        <f t="shared" si="14"/>
        <v>5039</v>
      </c>
      <c r="D139" s="31">
        <v>6</v>
      </c>
      <c r="E139" s="27">
        <f t="shared" si="12"/>
        <v>3023.3999999999996</v>
      </c>
    </row>
    <row r="140" spans="1:5" x14ac:dyDescent="0.25">
      <c r="A140" s="24">
        <f t="shared" si="11"/>
        <v>7200001</v>
      </c>
      <c r="B140" s="24">
        <f t="shared" si="13"/>
        <v>7250000</v>
      </c>
      <c r="C140" s="25">
        <f t="shared" si="14"/>
        <v>5073</v>
      </c>
      <c r="D140" s="31">
        <v>6</v>
      </c>
      <c r="E140" s="27">
        <f t="shared" si="12"/>
        <v>3043.8</v>
      </c>
    </row>
    <row r="141" spans="1:5" x14ac:dyDescent="0.25">
      <c r="A141" s="24">
        <f t="shared" si="11"/>
        <v>7250001</v>
      </c>
      <c r="B141" s="24">
        <f t="shared" si="13"/>
        <v>7300000</v>
      </c>
      <c r="C141" s="25">
        <f t="shared" si="14"/>
        <v>5107</v>
      </c>
      <c r="D141" s="31">
        <v>6</v>
      </c>
      <c r="E141" s="27">
        <f t="shared" si="12"/>
        <v>3064.2</v>
      </c>
    </row>
    <row r="142" spans="1:5" x14ac:dyDescent="0.25">
      <c r="A142" s="24">
        <f t="shared" si="11"/>
        <v>7300001</v>
      </c>
      <c r="B142" s="24">
        <f t="shared" si="13"/>
        <v>7350000</v>
      </c>
      <c r="C142" s="25">
        <f t="shared" si="14"/>
        <v>5141</v>
      </c>
      <c r="D142" s="31">
        <v>6</v>
      </c>
      <c r="E142" s="27">
        <f t="shared" si="12"/>
        <v>3084.6000000000004</v>
      </c>
    </row>
    <row r="143" spans="1:5" x14ac:dyDescent="0.25">
      <c r="A143" s="24">
        <f t="shared" si="11"/>
        <v>7350001</v>
      </c>
      <c r="B143" s="24">
        <f t="shared" si="13"/>
        <v>7400000</v>
      </c>
      <c r="C143" s="25">
        <f t="shared" si="14"/>
        <v>5175</v>
      </c>
      <c r="D143" s="31">
        <v>6</v>
      </c>
      <c r="E143" s="27">
        <f t="shared" si="12"/>
        <v>3105</v>
      </c>
    </row>
    <row r="144" spans="1:5" x14ac:dyDescent="0.25">
      <c r="A144" s="24">
        <f t="shared" si="11"/>
        <v>7400001</v>
      </c>
      <c r="B144" s="24">
        <f t="shared" si="13"/>
        <v>7450000</v>
      </c>
      <c r="C144" s="25">
        <f t="shared" si="14"/>
        <v>5209</v>
      </c>
      <c r="D144" s="31">
        <v>6</v>
      </c>
      <c r="E144" s="27">
        <f t="shared" si="12"/>
        <v>3125.3999999999996</v>
      </c>
    </row>
    <row r="145" spans="1:5" x14ac:dyDescent="0.25">
      <c r="A145" s="24">
        <f t="shared" si="11"/>
        <v>7450001</v>
      </c>
      <c r="B145" s="24">
        <f t="shared" si="13"/>
        <v>7500000</v>
      </c>
      <c r="C145" s="25">
        <f t="shared" si="14"/>
        <v>5243</v>
      </c>
      <c r="D145" s="31">
        <v>6</v>
      </c>
      <c r="E145" s="27">
        <f t="shared" si="12"/>
        <v>3145.7999999999997</v>
      </c>
    </row>
    <row r="146" spans="1:5" x14ac:dyDescent="0.25">
      <c r="A146" s="24">
        <f t="shared" si="11"/>
        <v>7500001</v>
      </c>
      <c r="B146" s="24">
        <f t="shared" si="13"/>
        <v>7550000</v>
      </c>
      <c r="C146" s="25">
        <f t="shared" si="14"/>
        <v>5277</v>
      </c>
      <c r="D146" s="31">
        <v>6</v>
      </c>
      <c r="E146" s="27">
        <f t="shared" si="12"/>
        <v>3166.2000000000003</v>
      </c>
    </row>
    <row r="147" spans="1:5" x14ac:dyDescent="0.25">
      <c r="A147" s="24">
        <f t="shared" si="11"/>
        <v>7550001</v>
      </c>
      <c r="B147" s="24">
        <f t="shared" si="13"/>
        <v>7600000</v>
      </c>
      <c r="C147" s="25">
        <f t="shared" si="14"/>
        <v>5311</v>
      </c>
      <c r="D147" s="31">
        <v>6</v>
      </c>
      <c r="E147" s="27">
        <f t="shared" si="12"/>
        <v>3186.6000000000004</v>
      </c>
    </row>
    <row r="148" spans="1:5" x14ac:dyDescent="0.25">
      <c r="A148" s="24">
        <f t="shared" si="11"/>
        <v>7600001</v>
      </c>
      <c r="B148" s="24">
        <f t="shared" si="13"/>
        <v>7650000</v>
      </c>
      <c r="C148" s="25">
        <f t="shared" si="14"/>
        <v>5345</v>
      </c>
      <c r="D148" s="31">
        <v>6</v>
      </c>
      <c r="E148" s="27">
        <f t="shared" si="12"/>
        <v>3207</v>
      </c>
    </row>
    <row r="149" spans="1:5" x14ac:dyDescent="0.25">
      <c r="A149" s="24">
        <f t="shared" si="11"/>
        <v>7650001</v>
      </c>
      <c r="B149" s="24">
        <f t="shared" si="13"/>
        <v>7700000</v>
      </c>
      <c r="C149" s="25">
        <f t="shared" si="14"/>
        <v>5379</v>
      </c>
      <c r="D149" s="31">
        <v>6</v>
      </c>
      <c r="E149" s="27">
        <f t="shared" si="12"/>
        <v>3227.3999999999996</v>
      </c>
    </row>
    <row r="150" spans="1:5" x14ac:dyDescent="0.25">
      <c r="A150" s="24">
        <f t="shared" si="11"/>
        <v>7700001</v>
      </c>
      <c r="B150" s="24">
        <f t="shared" si="13"/>
        <v>7750000</v>
      </c>
      <c r="C150" s="25">
        <f t="shared" si="14"/>
        <v>5413</v>
      </c>
      <c r="D150" s="31">
        <v>6</v>
      </c>
      <c r="E150" s="27">
        <f t="shared" si="12"/>
        <v>3247.7999999999997</v>
      </c>
    </row>
    <row r="151" spans="1:5" x14ac:dyDescent="0.25">
      <c r="A151" s="24">
        <f t="shared" si="11"/>
        <v>7750001</v>
      </c>
      <c r="B151" s="24">
        <f t="shared" si="13"/>
        <v>7800000</v>
      </c>
      <c r="C151" s="25">
        <f t="shared" si="14"/>
        <v>5447</v>
      </c>
      <c r="D151" s="31">
        <v>6</v>
      </c>
      <c r="E151" s="27">
        <f t="shared" si="12"/>
        <v>3268.2000000000003</v>
      </c>
    </row>
    <row r="152" spans="1:5" x14ac:dyDescent="0.25">
      <c r="A152" s="24">
        <f t="shared" si="11"/>
        <v>7800001</v>
      </c>
      <c r="B152" s="24">
        <f t="shared" si="13"/>
        <v>7850000</v>
      </c>
      <c r="C152" s="25">
        <f t="shared" si="14"/>
        <v>5481</v>
      </c>
      <c r="D152" s="31">
        <v>6</v>
      </c>
      <c r="E152" s="27">
        <f t="shared" si="12"/>
        <v>3288.6000000000004</v>
      </c>
    </row>
    <row r="153" spans="1:5" x14ac:dyDescent="0.25">
      <c r="A153" s="24">
        <f t="shared" si="11"/>
        <v>7850001</v>
      </c>
      <c r="B153" s="24">
        <f t="shared" si="13"/>
        <v>7900000</v>
      </c>
      <c r="C153" s="25">
        <f t="shared" si="14"/>
        <v>5515</v>
      </c>
      <c r="D153" s="31">
        <v>6</v>
      </c>
      <c r="E153" s="27">
        <f t="shared" si="12"/>
        <v>3309</v>
      </c>
    </row>
    <row r="154" spans="1:5" x14ac:dyDescent="0.25">
      <c r="A154" s="24">
        <f t="shared" si="11"/>
        <v>7900001</v>
      </c>
      <c r="B154" s="24">
        <f t="shared" si="13"/>
        <v>7950000</v>
      </c>
      <c r="C154" s="25">
        <f t="shared" si="14"/>
        <v>5549</v>
      </c>
      <c r="D154" s="31">
        <v>6</v>
      </c>
      <c r="E154" s="27">
        <f t="shared" si="12"/>
        <v>3329.3999999999996</v>
      </c>
    </row>
    <row r="155" spans="1:5" x14ac:dyDescent="0.25">
      <c r="A155" s="24">
        <f t="shared" si="11"/>
        <v>7950001</v>
      </c>
      <c r="B155" s="24">
        <f t="shared" si="13"/>
        <v>8000000</v>
      </c>
      <c r="C155" s="25">
        <f t="shared" si="14"/>
        <v>5583</v>
      </c>
      <c r="D155" s="31">
        <v>6</v>
      </c>
      <c r="E155" s="27">
        <f t="shared" si="12"/>
        <v>3349.7999999999997</v>
      </c>
    </row>
    <row r="156" spans="1:5" x14ac:dyDescent="0.25">
      <c r="A156" s="24">
        <f t="shared" si="11"/>
        <v>8000001</v>
      </c>
      <c r="B156" s="24">
        <f t="shared" si="13"/>
        <v>8050000</v>
      </c>
      <c r="C156" s="25">
        <f t="shared" si="14"/>
        <v>5617</v>
      </c>
      <c r="D156" s="31">
        <v>6</v>
      </c>
      <c r="E156" s="27">
        <f t="shared" si="12"/>
        <v>3370.2000000000003</v>
      </c>
    </row>
    <row r="157" spans="1:5" x14ac:dyDescent="0.25">
      <c r="A157" s="24">
        <f t="shared" si="11"/>
        <v>8050001</v>
      </c>
      <c r="B157" s="24">
        <f t="shared" si="13"/>
        <v>8100000</v>
      </c>
      <c r="C157" s="25">
        <f t="shared" si="14"/>
        <v>5651</v>
      </c>
      <c r="D157" s="31">
        <v>6</v>
      </c>
      <c r="E157" s="27">
        <f t="shared" si="12"/>
        <v>3390.6000000000004</v>
      </c>
    </row>
    <row r="158" spans="1:5" x14ac:dyDescent="0.25">
      <c r="A158" s="24">
        <f t="shared" si="11"/>
        <v>8100001</v>
      </c>
      <c r="B158" s="24">
        <f t="shared" si="13"/>
        <v>8150000</v>
      </c>
      <c r="C158" s="25">
        <f t="shared" si="14"/>
        <v>5685</v>
      </c>
      <c r="D158" s="31">
        <v>6</v>
      </c>
      <c r="E158" s="27">
        <f t="shared" si="12"/>
        <v>3411</v>
      </c>
    </row>
    <row r="159" spans="1:5" x14ac:dyDescent="0.25">
      <c r="A159" s="24">
        <f t="shared" si="11"/>
        <v>8150001</v>
      </c>
      <c r="B159" s="24">
        <f t="shared" si="13"/>
        <v>8200000</v>
      </c>
      <c r="C159" s="25">
        <f t="shared" si="14"/>
        <v>5719</v>
      </c>
      <c r="D159" s="31">
        <v>6</v>
      </c>
      <c r="E159" s="27">
        <f t="shared" si="12"/>
        <v>3431.3999999999996</v>
      </c>
    </row>
    <row r="160" spans="1:5" x14ac:dyDescent="0.25">
      <c r="A160" s="24">
        <f t="shared" si="11"/>
        <v>8200001</v>
      </c>
      <c r="B160" s="24">
        <f t="shared" si="13"/>
        <v>8250000</v>
      </c>
      <c r="C160" s="25">
        <f t="shared" si="14"/>
        <v>5753</v>
      </c>
      <c r="D160" s="31">
        <v>6</v>
      </c>
      <c r="E160" s="27">
        <f t="shared" si="12"/>
        <v>3451.7999999999997</v>
      </c>
    </row>
    <row r="161" spans="1:5" x14ac:dyDescent="0.25">
      <c r="A161" s="24">
        <f t="shared" si="11"/>
        <v>8250001</v>
      </c>
      <c r="B161" s="24">
        <f t="shared" si="13"/>
        <v>8300000</v>
      </c>
      <c r="C161" s="25">
        <f t="shared" si="14"/>
        <v>5787</v>
      </c>
      <c r="D161" s="31">
        <v>6</v>
      </c>
      <c r="E161" s="27">
        <f t="shared" si="12"/>
        <v>3472.2000000000003</v>
      </c>
    </row>
    <row r="162" spans="1:5" x14ac:dyDescent="0.25">
      <c r="A162" s="24">
        <f t="shared" si="11"/>
        <v>8300001</v>
      </c>
      <c r="B162" s="24">
        <f t="shared" si="13"/>
        <v>8350000</v>
      </c>
      <c r="C162" s="25">
        <f t="shared" si="14"/>
        <v>5821</v>
      </c>
      <c r="D162" s="31">
        <v>6</v>
      </c>
      <c r="E162" s="27">
        <f t="shared" si="12"/>
        <v>3492.6000000000004</v>
      </c>
    </row>
    <row r="163" spans="1:5" x14ac:dyDescent="0.25">
      <c r="A163" s="24">
        <f t="shared" si="11"/>
        <v>8350001</v>
      </c>
      <c r="B163" s="24">
        <f t="shared" si="13"/>
        <v>8400000</v>
      </c>
      <c r="C163" s="25">
        <f t="shared" si="14"/>
        <v>5855</v>
      </c>
      <c r="D163" s="31">
        <v>6</v>
      </c>
      <c r="E163" s="27">
        <f t="shared" si="12"/>
        <v>3513</v>
      </c>
    </row>
    <row r="164" spans="1:5" x14ac:dyDescent="0.25">
      <c r="A164" s="24">
        <f t="shared" si="11"/>
        <v>8400001</v>
      </c>
      <c r="B164" s="24">
        <f t="shared" si="13"/>
        <v>8450000</v>
      </c>
      <c r="C164" s="25">
        <f t="shared" si="14"/>
        <v>5889</v>
      </c>
      <c r="D164" s="31">
        <v>6</v>
      </c>
      <c r="E164" s="27">
        <f t="shared" si="12"/>
        <v>3533.3999999999996</v>
      </c>
    </row>
    <row r="165" spans="1:5" x14ac:dyDescent="0.25">
      <c r="A165" s="24">
        <f t="shared" si="11"/>
        <v>8450001</v>
      </c>
      <c r="B165" s="24">
        <f t="shared" si="13"/>
        <v>8500000</v>
      </c>
      <c r="C165" s="25">
        <f t="shared" si="14"/>
        <v>5923</v>
      </c>
      <c r="D165" s="31">
        <v>6</v>
      </c>
      <c r="E165" s="27">
        <f t="shared" si="12"/>
        <v>3553.7999999999997</v>
      </c>
    </row>
    <row r="166" spans="1:5" x14ac:dyDescent="0.25">
      <c r="A166" s="24">
        <f t="shared" si="11"/>
        <v>8500001</v>
      </c>
      <c r="B166" s="24">
        <f t="shared" si="13"/>
        <v>8550000</v>
      </c>
      <c r="C166" s="25">
        <f t="shared" si="14"/>
        <v>5957</v>
      </c>
      <c r="D166" s="31">
        <v>6</v>
      </c>
      <c r="E166" s="27">
        <f t="shared" si="12"/>
        <v>3574.2000000000003</v>
      </c>
    </row>
    <row r="167" spans="1:5" x14ac:dyDescent="0.25">
      <c r="A167" s="24">
        <f t="shared" si="11"/>
        <v>8550001</v>
      </c>
      <c r="B167" s="24">
        <f t="shared" si="13"/>
        <v>8600000</v>
      </c>
      <c r="C167" s="25">
        <f t="shared" si="14"/>
        <v>5991</v>
      </c>
      <c r="D167" s="31">
        <v>6</v>
      </c>
      <c r="E167" s="27">
        <f t="shared" si="12"/>
        <v>3594.6000000000004</v>
      </c>
    </row>
    <row r="168" spans="1:5" x14ac:dyDescent="0.25">
      <c r="A168" s="24">
        <f t="shared" si="11"/>
        <v>8600001</v>
      </c>
      <c r="B168" s="24">
        <f t="shared" si="13"/>
        <v>8650000</v>
      </c>
      <c r="C168" s="25">
        <f t="shared" si="14"/>
        <v>6025</v>
      </c>
      <c r="D168" s="31">
        <v>6</v>
      </c>
      <c r="E168" s="27">
        <f t="shared" si="12"/>
        <v>3615</v>
      </c>
    </row>
    <row r="169" spans="1:5" x14ac:dyDescent="0.25">
      <c r="A169" s="24">
        <f t="shared" si="11"/>
        <v>8650001</v>
      </c>
      <c r="B169" s="24">
        <f t="shared" si="13"/>
        <v>8700000</v>
      </c>
      <c r="C169" s="25">
        <f t="shared" si="14"/>
        <v>6059</v>
      </c>
      <c r="D169" s="31">
        <v>6</v>
      </c>
      <c r="E169" s="27">
        <f t="shared" si="12"/>
        <v>3635.3999999999996</v>
      </c>
    </row>
    <row r="170" spans="1:5" x14ac:dyDescent="0.25">
      <c r="A170" s="24">
        <f t="shared" si="11"/>
        <v>8700001</v>
      </c>
      <c r="B170" s="24">
        <f t="shared" si="13"/>
        <v>8750000</v>
      </c>
      <c r="C170" s="25">
        <f t="shared" si="14"/>
        <v>6093</v>
      </c>
      <c r="D170" s="31">
        <v>6</v>
      </c>
      <c r="E170" s="27">
        <f t="shared" si="12"/>
        <v>3655.7999999999997</v>
      </c>
    </row>
    <row r="171" spans="1:5" x14ac:dyDescent="0.25">
      <c r="A171" s="24">
        <f t="shared" si="11"/>
        <v>8750001</v>
      </c>
      <c r="B171" s="24">
        <f t="shared" si="13"/>
        <v>8800000</v>
      </c>
      <c r="C171" s="25">
        <f t="shared" si="14"/>
        <v>6127</v>
      </c>
      <c r="D171" s="31">
        <v>6</v>
      </c>
      <c r="E171" s="27">
        <f t="shared" si="12"/>
        <v>3676.2000000000003</v>
      </c>
    </row>
    <row r="172" spans="1:5" x14ac:dyDescent="0.25">
      <c r="A172" s="24">
        <f t="shared" si="11"/>
        <v>8800001</v>
      </c>
      <c r="B172" s="24">
        <f t="shared" si="13"/>
        <v>8850000</v>
      </c>
      <c r="C172" s="25">
        <f t="shared" si="14"/>
        <v>6161</v>
      </c>
      <c r="D172" s="31">
        <v>6</v>
      </c>
      <c r="E172" s="27">
        <f t="shared" si="12"/>
        <v>3696.6000000000004</v>
      </c>
    </row>
    <row r="173" spans="1:5" x14ac:dyDescent="0.25">
      <c r="A173" s="24">
        <f t="shared" si="11"/>
        <v>8850001</v>
      </c>
      <c r="B173" s="24">
        <f t="shared" si="13"/>
        <v>8900000</v>
      </c>
      <c r="C173" s="25">
        <f t="shared" si="14"/>
        <v>6195</v>
      </c>
      <c r="D173" s="31">
        <v>6</v>
      </c>
      <c r="E173" s="27">
        <f t="shared" si="12"/>
        <v>3717</v>
      </c>
    </row>
    <row r="174" spans="1:5" x14ac:dyDescent="0.25">
      <c r="A174" s="24">
        <f t="shared" si="11"/>
        <v>8900001</v>
      </c>
      <c r="B174" s="24">
        <f t="shared" si="13"/>
        <v>8950000</v>
      </c>
      <c r="C174" s="25">
        <f t="shared" si="14"/>
        <v>6229</v>
      </c>
      <c r="D174" s="31">
        <v>6</v>
      </c>
      <c r="E174" s="27">
        <f t="shared" si="12"/>
        <v>3737.3999999999996</v>
      </c>
    </row>
    <row r="175" spans="1:5" x14ac:dyDescent="0.25">
      <c r="A175" s="24">
        <f t="shared" si="11"/>
        <v>8950001</v>
      </c>
      <c r="B175" s="24">
        <f t="shared" si="13"/>
        <v>9000000</v>
      </c>
      <c r="C175" s="25">
        <f t="shared" si="14"/>
        <v>6263</v>
      </c>
      <c r="D175" s="31">
        <v>6</v>
      </c>
      <c r="E175" s="27">
        <f t="shared" si="12"/>
        <v>3757.7999999999997</v>
      </c>
    </row>
    <row r="176" spans="1:5" x14ac:dyDescent="0.25">
      <c r="A176" s="24">
        <f t="shared" si="11"/>
        <v>9000001</v>
      </c>
      <c r="B176" s="24">
        <f t="shared" si="13"/>
        <v>9050000</v>
      </c>
      <c r="C176" s="25">
        <f t="shared" si="14"/>
        <v>6297</v>
      </c>
      <c r="D176" s="31">
        <v>6</v>
      </c>
      <c r="E176" s="27">
        <f t="shared" si="12"/>
        <v>3778.2000000000003</v>
      </c>
    </row>
    <row r="177" spans="1:5" x14ac:dyDescent="0.25">
      <c r="A177" s="24">
        <f t="shared" si="11"/>
        <v>9050001</v>
      </c>
      <c r="B177" s="24">
        <f t="shared" si="13"/>
        <v>9100000</v>
      </c>
      <c r="C177" s="25">
        <f t="shared" si="14"/>
        <v>6331</v>
      </c>
      <c r="D177" s="31">
        <v>6</v>
      </c>
      <c r="E177" s="27">
        <f t="shared" si="12"/>
        <v>3798.6000000000004</v>
      </c>
    </row>
    <row r="178" spans="1:5" x14ac:dyDescent="0.25">
      <c r="A178" s="24">
        <f t="shared" si="11"/>
        <v>9100001</v>
      </c>
      <c r="B178" s="24">
        <f t="shared" si="13"/>
        <v>9150000</v>
      </c>
      <c r="C178" s="25">
        <f t="shared" si="14"/>
        <v>6365</v>
      </c>
      <c r="D178" s="31">
        <v>6</v>
      </c>
      <c r="E178" s="27">
        <f t="shared" si="12"/>
        <v>3819</v>
      </c>
    </row>
    <row r="179" spans="1:5" x14ac:dyDescent="0.25">
      <c r="A179" s="24">
        <f t="shared" si="11"/>
        <v>9150001</v>
      </c>
      <c r="B179" s="24">
        <f t="shared" si="13"/>
        <v>9200000</v>
      </c>
      <c r="C179" s="25">
        <f t="shared" si="14"/>
        <v>6399</v>
      </c>
      <c r="D179" s="31">
        <v>6</v>
      </c>
      <c r="E179" s="27">
        <f t="shared" si="12"/>
        <v>3839.3999999999996</v>
      </c>
    </row>
    <row r="180" spans="1:5" x14ac:dyDescent="0.25">
      <c r="A180" s="24">
        <f t="shared" si="11"/>
        <v>9200001</v>
      </c>
      <c r="B180" s="24">
        <f t="shared" si="13"/>
        <v>9250000</v>
      </c>
      <c r="C180" s="25">
        <f t="shared" si="14"/>
        <v>6433</v>
      </c>
      <c r="D180" s="31">
        <v>6</v>
      </c>
      <c r="E180" s="27">
        <f t="shared" si="12"/>
        <v>3859.7999999999997</v>
      </c>
    </row>
    <row r="181" spans="1:5" x14ac:dyDescent="0.25">
      <c r="A181" s="24">
        <f t="shared" si="11"/>
        <v>9250001</v>
      </c>
      <c r="B181" s="24">
        <f t="shared" si="13"/>
        <v>9300000</v>
      </c>
      <c r="C181" s="25">
        <f t="shared" si="14"/>
        <v>6467</v>
      </c>
      <c r="D181" s="31">
        <v>6</v>
      </c>
      <c r="E181" s="27">
        <f t="shared" si="12"/>
        <v>3880.2000000000003</v>
      </c>
    </row>
    <row r="182" spans="1:5" x14ac:dyDescent="0.25">
      <c r="A182" s="24">
        <f t="shared" si="11"/>
        <v>9300001</v>
      </c>
      <c r="B182" s="24">
        <f t="shared" si="13"/>
        <v>9350000</v>
      </c>
      <c r="C182" s="25">
        <f t="shared" si="14"/>
        <v>6501</v>
      </c>
      <c r="D182" s="31">
        <v>6</v>
      </c>
      <c r="E182" s="27">
        <f t="shared" si="12"/>
        <v>3900.6000000000004</v>
      </c>
    </row>
    <row r="183" spans="1:5" x14ac:dyDescent="0.25">
      <c r="A183" s="24">
        <f t="shared" si="11"/>
        <v>9350001</v>
      </c>
      <c r="B183" s="24">
        <f t="shared" si="13"/>
        <v>9400000</v>
      </c>
      <c r="C183" s="25">
        <f t="shared" si="14"/>
        <v>6535</v>
      </c>
      <c r="D183" s="31">
        <v>6</v>
      </c>
      <c r="E183" s="27">
        <f t="shared" si="12"/>
        <v>3921</v>
      </c>
    </row>
    <row r="184" spans="1:5" x14ac:dyDescent="0.25">
      <c r="A184" s="24">
        <f t="shared" si="11"/>
        <v>9400001</v>
      </c>
      <c r="B184" s="24">
        <f t="shared" si="13"/>
        <v>9450000</v>
      </c>
      <c r="C184" s="25">
        <f t="shared" si="14"/>
        <v>6569</v>
      </c>
      <c r="D184" s="31">
        <v>6</v>
      </c>
      <c r="E184" s="27">
        <f t="shared" si="12"/>
        <v>3941.3999999999996</v>
      </c>
    </row>
    <row r="185" spans="1:5" x14ac:dyDescent="0.25">
      <c r="A185" s="24">
        <f t="shared" si="11"/>
        <v>9450001</v>
      </c>
      <c r="B185" s="24">
        <f t="shared" si="13"/>
        <v>9500000</v>
      </c>
      <c r="C185" s="25">
        <f t="shared" si="14"/>
        <v>6603</v>
      </c>
      <c r="D185" s="31">
        <v>6</v>
      </c>
      <c r="E185" s="27">
        <f t="shared" si="12"/>
        <v>3961.7999999999997</v>
      </c>
    </row>
    <row r="186" spans="1:5" x14ac:dyDescent="0.25">
      <c r="A186" s="24">
        <f t="shared" si="11"/>
        <v>9500001</v>
      </c>
      <c r="B186" s="24">
        <f t="shared" si="13"/>
        <v>9550000</v>
      </c>
      <c r="C186" s="25">
        <f t="shared" si="14"/>
        <v>6637</v>
      </c>
      <c r="D186" s="31">
        <v>6</v>
      </c>
      <c r="E186" s="27">
        <f t="shared" si="12"/>
        <v>3982.2000000000003</v>
      </c>
    </row>
    <row r="187" spans="1:5" x14ac:dyDescent="0.25">
      <c r="A187" s="24">
        <f t="shared" si="11"/>
        <v>9550001</v>
      </c>
      <c r="B187" s="24">
        <f t="shared" si="13"/>
        <v>9600000</v>
      </c>
      <c r="C187" s="25">
        <f t="shared" si="14"/>
        <v>6671</v>
      </c>
      <c r="D187" s="31">
        <v>6</v>
      </c>
      <c r="E187" s="27">
        <f t="shared" si="12"/>
        <v>4002.6000000000004</v>
      </c>
    </row>
    <row r="188" spans="1:5" x14ac:dyDescent="0.25">
      <c r="A188" s="24">
        <f t="shared" si="11"/>
        <v>9600001</v>
      </c>
      <c r="B188" s="24">
        <f t="shared" si="13"/>
        <v>9650000</v>
      </c>
      <c r="C188" s="25">
        <f t="shared" si="14"/>
        <v>6705</v>
      </c>
      <c r="D188" s="31">
        <v>6</v>
      </c>
      <c r="E188" s="27">
        <f t="shared" si="12"/>
        <v>4023</v>
      </c>
    </row>
    <row r="189" spans="1:5" x14ac:dyDescent="0.25">
      <c r="A189" s="24">
        <f t="shared" si="11"/>
        <v>9650001</v>
      </c>
      <c r="B189" s="24">
        <f t="shared" si="13"/>
        <v>9700000</v>
      </c>
      <c r="C189" s="25">
        <f t="shared" si="14"/>
        <v>6739</v>
      </c>
      <c r="D189" s="31">
        <v>6</v>
      </c>
      <c r="E189" s="27">
        <f t="shared" si="12"/>
        <v>4043.3999999999996</v>
      </c>
    </row>
    <row r="190" spans="1:5" x14ac:dyDescent="0.25">
      <c r="A190" s="24">
        <f t="shared" ref="A190:A253" si="15">B189+1</f>
        <v>9700001</v>
      </c>
      <c r="B190" s="24">
        <f t="shared" si="13"/>
        <v>9750000</v>
      </c>
      <c r="C190" s="25">
        <f t="shared" si="14"/>
        <v>6773</v>
      </c>
      <c r="D190" s="31">
        <v>6</v>
      </c>
      <c r="E190" s="27">
        <f t="shared" ref="E190:E253" si="16">C190/10*D190</f>
        <v>4063.7999999999997</v>
      </c>
    </row>
    <row r="191" spans="1:5" x14ac:dyDescent="0.25">
      <c r="A191" s="24">
        <f t="shared" si="15"/>
        <v>9750001</v>
      </c>
      <c r="B191" s="24">
        <f t="shared" ref="B191:B254" si="17">B190+50000</f>
        <v>9800000</v>
      </c>
      <c r="C191" s="25">
        <f t="shared" si="14"/>
        <v>6807</v>
      </c>
      <c r="D191" s="31">
        <v>6</v>
      </c>
      <c r="E191" s="27">
        <f t="shared" si="16"/>
        <v>4084.2000000000003</v>
      </c>
    </row>
    <row r="192" spans="1:5" x14ac:dyDescent="0.25">
      <c r="A192" s="24">
        <f t="shared" si="15"/>
        <v>9800001</v>
      </c>
      <c r="B192" s="24">
        <f t="shared" si="17"/>
        <v>9850000</v>
      </c>
      <c r="C192" s="25">
        <f t="shared" si="14"/>
        <v>6841</v>
      </c>
      <c r="D192" s="31">
        <v>6</v>
      </c>
      <c r="E192" s="27">
        <f t="shared" si="16"/>
        <v>4104.6000000000004</v>
      </c>
    </row>
    <row r="193" spans="1:5" x14ac:dyDescent="0.25">
      <c r="A193" s="24">
        <f t="shared" si="15"/>
        <v>9850001</v>
      </c>
      <c r="B193" s="24">
        <f t="shared" si="17"/>
        <v>9900000</v>
      </c>
      <c r="C193" s="25">
        <f t="shared" si="14"/>
        <v>6875</v>
      </c>
      <c r="D193" s="31">
        <v>6</v>
      </c>
      <c r="E193" s="27">
        <f t="shared" si="16"/>
        <v>4125</v>
      </c>
    </row>
    <row r="194" spans="1:5" x14ac:dyDescent="0.25">
      <c r="A194" s="24">
        <f t="shared" si="15"/>
        <v>9900001</v>
      </c>
      <c r="B194" s="24">
        <f t="shared" si="17"/>
        <v>9950000</v>
      </c>
      <c r="C194" s="25">
        <f t="shared" si="14"/>
        <v>6909</v>
      </c>
      <c r="D194" s="31">
        <v>6</v>
      </c>
      <c r="E194" s="27">
        <f t="shared" si="16"/>
        <v>4145.3999999999996</v>
      </c>
    </row>
    <row r="195" spans="1:5" x14ac:dyDescent="0.25">
      <c r="A195" s="24">
        <f t="shared" si="15"/>
        <v>9950001</v>
      </c>
      <c r="B195" s="24">
        <f t="shared" si="17"/>
        <v>10000000</v>
      </c>
      <c r="C195" s="25">
        <f t="shared" si="14"/>
        <v>6943</v>
      </c>
      <c r="D195" s="31">
        <v>6</v>
      </c>
      <c r="E195" s="27">
        <f t="shared" si="16"/>
        <v>4165.7999999999993</v>
      </c>
    </row>
    <row r="196" spans="1:5" x14ac:dyDescent="0.25">
      <c r="A196" s="24">
        <f t="shared" si="15"/>
        <v>10000001</v>
      </c>
      <c r="B196" s="24">
        <f t="shared" si="17"/>
        <v>10050000</v>
      </c>
      <c r="C196" s="25">
        <f t="shared" si="14"/>
        <v>6977</v>
      </c>
      <c r="D196" s="31">
        <v>6</v>
      </c>
      <c r="E196" s="27">
        <f t="shared" si="16"/>
        <v>4186.2000000000007</v>
      </c>
    </row>
    <row r="197" spans="1:5" x14ac:dyDescent="0.25">
      <c r="A197" s="24">
        <f t="shared" si="15"/>
        <v>10050001</v>
      </c>
      <c r="B197" s="24">
        <f t="shared" si="17"/>
        <v>10100000</v>
      </c>
      <c r="C197" s="25">
        <f t="shared" si="14"/>
        <v>7011</v>
      </c>
      <c r="D197" s="31">
        <v>6</v>
      </c>
      <c r="E197" s="27">
        <f t="shared" si="16"/>
        <v>4206.6000000000004</v>
      </c>
    </row>
    <row r="198" spans="1:5" x14ac:dyDescent="0.25">
      <c r="A198" s="24">
        <f t="shared" si="15"/>
        <v>10100001</v>
      </c>
      <c r="B198" s="24">
        <f t="shared" si="17"/>
        <v>10150000</v>
      </c>
      <c r="C198" s="25">
        <f t="shared" ref="C198:C261" si="18">C197+34</f>
        <v>7045</v>
      </c>
      <c r="D198" s="31">
        <v>6</v>
      </c>
      <c r="E198" s="27">
        <f t="shared" si="16"/>
        <v>4227</v>
      </c>
    </row>
    <row r="199" spans="1:5" x14ac:dyDescent="0.25">
      <c r="A199" s="24">
        <f t="shared" si="15"/>
        <v>10150001</v>
      </c>
      <c r="B199" s="24">
        <f t="shared" si="17"/>
        <v>10200000</v>
      </c>
      <c r="C199" s="25">
        <f t="shared" si="18"/>
        <v>7079</v>
      </c>
      <c r="D199" s="31">
        <v>6</v>
      </c>
      <c r="E199" s="27">
        <f t="shared" si="16"/>
        <v>4247.3999999999996</v>
      </c>
    </row>
    <row r="200" spans="1:5" x14ac:dyDescent="0.25">
      <c r="A200" s="24">
        <f t="shared" si="15"/>
        <v>10200001</v>
      </c>
      <c r="B200" s="24">
        <f t="shared" si="17"/>
        <v>10250000</v>
      </c>
      <c r="C200" s="25">
        <f t="shared" si="18"/>
        <v>7113</v>
      </c>
      <c r="D200" s="31">
        <v>6</v>
      </c>
      <c r="E200" s="27">
        <f t="shared" si="16"/>
        <v>4267.7999999999993</v>
      </c>
    </row>
    <row r="201" spans="1:5" x14ac:dyDescent="0.25">
      <c r="A201" s="24">
        <f t="shared" si="15"/>
        <v>10250001</v>
      </c>
      <c r="B201" s="24">
        <f t="shared" si="17"/>
        <v>10300000</v>
      </c>
      <c r="C201" s="25">
        <f t="shared" si="18"/>
        <v>7147</v>
      </c>
      <c r="D201" s="31">
        <v>6</v>
      </c>
      <c r="E201" s="27">
        <f t="shared" si="16"/>
        <v>4288.2000000000007</v>
      </c>
    </row>
    <row r="202" spans="1:5" x14ac:dyDescent="0.25">
      <c r="A202" s="24">
        <f t="shared" si="15"/>
        <v>10300001</v>
      </c>
      <c r="B202" s="24">
        <f t="shared" si="17"/>
        <v>10350000</v>
      </c>
      <c r="C202" s="25">
        <f t="shared" si="18"/>
        <v>7181</v>
      </c>
      <c r="D202" s="31">
        <v>6</v>
      </c>
      <c r="E202" s="27">
        <f t="shared" si="16"/>
        <v>4308.6000000000004</v>
      </c>
    </row>
    <row r="203" spans="1:5" x14ac:dyDescent="0.25">
      <c r="A203" s="24">
        <f t="shared" si="15"/>
        <v>10350001</v>
      </c>
      <c r="B203" s="24">
        <f t="shared" si="17"/>
        <v>10400000</v>
      </c>
      <c r="C203" s="25">
        <f t="shared" si="18"/>
        <v>7215</v>
      </c>
      <c r="D203" s="31">
        <v>6</v>
      </c>
      <c r="E203" s="27">
        <f t="shared" si="16"/>
        <v>4329</v>
      </c>
    </row>
    <row r="204" spans="1:5" x14ac:dyDescent="0.25">
      <c r="A204" s="24">
        <f t="shared" si="15"/>
        <v>10400001</v>
      </c>
      <c r="B204" s="24">
        <f t="shared" si="17"/>
        <v>10450000</v>
      </c>
      <c r="C204" s="25">
        <f t="shared" si="18"/>
        <v>7249</v>
      </c>
      <c r="D204" s="31">
        <v>6</v>
      </c>
      <c r="E204" s="27">
        <f t="shared" si="16"/>
        <v>4349.3999999999996</v>
      </c>
    </row>
    <row r="205" spans="1:5" x14ac:dyDescent="0.25">
      <c r="A205" s="24">
        <f t="shared" si="15"/>
        <v>10450001</v>
      </c>
      <c r="B205" s="24">
        <f t="shared" si="17"/>
        <v>10500000</v>
      </c>
      <c r="C205" s="25">
        <f t="shared" si="18"/>
        <v>7283</v>
      </c>
      <c r="D205" s="31">
        <v>6</v>
      </c>
      <c r="E205" s="27">
        <f t="shared" si="16"/>
        <v>4369.7999999999993</v>
      </c>
    </row>
    <row r="206" spans="1:5" x14ac:dyDescent="0.25">
      <c r="A206" s="24">
        <f t="shared" si="15"/>
        <v>10500001</v>
      </c>
      <c r="B206" s="24">
        <f t="shared" si="17"/>
        <v>10550000</v>
      </c>
      <c r="C206" s="25">
        <f t="shared" si="18"/>
        <v>7317</v>
      </c>
      <c r="D206" s="31">
        <v>6</v>
      </c>
      <c r="E206" s="27">
        <f t="shared" si="16"/>
        <v>4390.2000000000007</v>
      </c>
    </row>
    <row r="207" spans="1:5" x14ac:dyDescent="0.25">
      <c r="A207" s="24">
        <f t="shared" si="15"/>
        <v>10550001</v>
      </c>
      <c r="B207" s="24">
        <f t="shared" si="17"/>
        <v>10600000</v>
      </c>
      <c r="C207" s="25">
        <f t="shared" si="18"/>
        <v>7351</v>
      </c>
      <c r="D207" s="31">
        <v>6</v>
      </c>
      <c r="E207" s="27">
        <f t="shared" si="16"/>
        <v>4410.6000000000004</v>
      </c>
    </row>
    <row r="208" spans="1:5" x14ac:dyDescent="0.25">
      <c r="A208" s="24">
        <f t="shared" si="15"/>
        <v>10600001</v>
      </c>
      <c r="B208" s="24">
        <f t="shared" si="17"/>
        <v>10650000</v>
      </c>
      <c r="C208" s="25">
        <f t="shared" si="18"/>
        <v>7385</v>
      </c>
      <c r="D208" s="31">
        <v>6</v>
      </c>
      <c r="E208" s="27">
        <f t="shared" si="16"/>
        <v>4431</v>
      </c>
    </row>
    <row r="209" spans="1:5" x14ac:dyDescent="0.25">
      <c r="A209" s="24">
        <f t="shared" si="15"/>
        <v>10650001</v>
      </c>
      <c r="B209" s="24">
        <f t="shared" si="17"/>
        <v>10700000</v>
      </c>
      <c r="C209" s="25">
        <f t="shared" si="18"/>
        <v>7419</v>
      </c>
      <c r="D209" s="31">
        <v>6</v>
      </c>
      <c r="E209" s="27">
        <f t="shared" si="16"/>
        <v>4451.3999999999996</v>
      </c>
    </row>
    <row r="210" spans="1:5" x14ac:dyDescent="0.25">
      <c r="A210" s="24">
        <f t="shared" si="15"/>
        <v>10700001</v>
      </c>
      <c r="B210" s="24">
        <f t="shared" si="17"/>
        <v>10750000</v>
      </c>
      <c r="C210" s="25">
        <f t="shared" si="18"/>
        <v>7453</v>
      </c>
      <c r="D210" s="31">
        <v>6</v>
      </c>
      <c r="E210" s="27">
        <f t="shared" si="16"/>
        <v>4471.7999999999993</v>
      </c>
    </row>
    <row r="211" spans="1:5" x14ac:dyDescent="0.25">
      <c r="A211" s="24">
        <f t="shared" si="15"/>
        <v>10750001</v>
      </c>
      <c r="B211" s="24">
        <f t="shared" si="17"/>
        <v>10800000</v>
      </c>
      <c r="C211" s="25">
        <f t="shared" si="18"/>
        <v>7487</v>
      </c>
      <c r="D211" s="31">
        <v>6</v>
      </c>
      <c r="E211" s="27">
        <f t="shared" si="16"/>
        <v>4492.2000000000007</v>
      </c>
    </row>
    <row r="212" spans="1:5" x14ac:dyDescent="0.25">
      <c r="A212" s="24">
        <f t="shared" si="15"/>
        <v>10800001</v>
      </c>
      <c r="B212" s="24">
        <f t="shared" si="17"/>
        <v>10850000</v>
      </c>
      <c r="C212" s="25">
        <f t="shared" si="18"/>
        <v>7521</v>
      </c>
      <c r="D212" s="31">
        <v>6</v>
      </c>
      <c r="E212" s="27">
        <f t="shared" si="16"/>
        <v>4512.6000000000004</v>
      </c>
    </row>
    <row r="213" spans="1:5" x14ac:dyDescent="0.25">
      <c r="A213" s="24">
        <f t="shared" si="15"/>
        <v>10850001</v>
      </c>
      <c r="B213" s="24">
        <f t="shared" si="17"/>
        <v>10900000</v>
      </c>
      <c r="C213" s="25">
        <f t="shared" si="18"/>
        <v>7555</v>
      </c>
      <c r="D213" s="31">
        <v>6</v>
      </c>
      <c r="E213" s="27">
        <f t="shared" si="16"/>
        <v>4533</v>
      </c>
    </row>
    <row r="214" spans="1:5" x14ac:dyDescent="0.25">
      <c r="A214" s="24">
        <f t="shared" si="15"/>
        <v>10900001</v>
      </c>
      <c r="B214" s="24">
        <f t="shared" si="17"/>
        <v>10950000</v>
      </c>
      <c r="C214" s="25">
        <f t="shared" si="18"/>
        <v>7589</v>
      </c>
      <c r="D214" s="31">
        <v>6</v>
      </c>
      <c r="E214" s="27">
        <f t="shared" si="16"/>
        <v>4553.3999999999996</v>
      </c>
    </row>
    <row r="215" spans="1:5" x14ac:dyDescent="0.25">
      <c r="A215" s="24">
        <f t="shared" si="15"/>
        <v>10950001</v>
      </c>
      <c r="B215" s="24">
        <f t="shared" si="17"/>
        <v>11000000</v>
      </c>
      <c r="C215" s="25">
        <f t="shared" si="18"/>
        <v>7623</v>
      </c>
      <c r="D215" s="31">
        <v>6</v>
      </c>
      <c r="E215" s="27">
        <f t="shared" si="16"/>
        <v>4573.7999999999993</v>
      </c>
    </row>
    <row r="216" spans="1:5" x14ac:dyDescent="0.25">
      <c r="A216" s="24">
        <f t="shared" si="15"/>
        <v>11000001</v>
      </c>
      <c r="B216" s="24">
        <f t="shared" si="17"/>
        <v>11050000</v>
      </c>
      <c r="C216" s="25">
        <f t="shared" si="18"/>
        <v>7657</v>
      </c>
      <c r="D216" s="31">
        <v>6</v>
      </c>
      <c r="E216" s="27">
        <f t="shared" si="16"/>
        <v>4594.2000000000007</v>
      </c>
    </row>
    <row r="217" spans="1:5" x14ac:dyDescent="0.25">
      <c r="A217" s="24">
        <f t="shared" si="15"/>
        <v>11050001</v>
      </c>
      <c r="B217" s="24">
        <f t="shared" si="17"/>
        <v>11100000</v>
      </c>
      <c r="C217" s="25">
        <f t="shared" si="18"/>
        <v>7691</v>
      </c>
      <c r="D217" s="31">
        <v>6</v>
      </c>
      <c r="E217" s="27">
        <f t="shared" si="16"/>
        <v>4614.6000000000004</v>
      </c>
    </row>
    <row r="218" spans="1:5" x14ac:dyDescent="0.25">
      <c r="A218" s="24">
        <f t="shared" si="15"/>
        <v>11100001</v>
      </c>
      <c r="B218" s="24">
        <f t="shared" si="17"/>
        <v>11150000</v>
      </c>
      <c r="C218" s="25">
        <f t="shared" si="18"/>
        <v>7725</v>
      </c>
      <c r="D218" s="31">
        <v>6</v>
      </c>
      <c r="E218" s="27">
        <f t="shared" si="16"/>
        <v>4635</v>
      </c>
    </row>
    <row r="219" spans="1:5" x14ac:dyDescent="0.25">
      <c r="A219" s="24">
        <f t="shared" si="15"/>
        <v>11150001</v>
      </c>
      <c r="B219" s="24">
        <f t="shared" si="17"/>
        <v>11200000</v>
      </c>
      <c r="C219" s="25">
        <f t="shared" si="18"/>
        <v>7759</v>
      </c>
      <c r="D219" s="31">
        <v>6</v>
      </c>
      <c r="E219" s="27">
        <f t="shared" si="16"/>
        <v>4655.3999999999996</v>
      </c>
    </row>
    <row r="220" spans="1:5" x14ac:dyDescent="0.25">
      <c r="A220" s="24">
        <f t="shared" si="15"/>
        <v>11200001</v>
      </c>
      <c r="B220" s="24">
        <f t="shared" si="17"/>
        <v>11250000</v>
      </c>
      <c r="C220" s="25">
        <f t="shared" si="18"/>
        <v>7793</v>
      </c>
      <c r="D220" s="31">
        <v>6</v>
      </c>
      <c r="E220" s="27">
        <f t="shared" si="16"/>
        <v>4675.7999999999993</v>
      </c>
    </row>
    <row r="221" spans="1:5" x14ac:dyDescent="0.25">
      <c r="A221" s="24">
        <f t="shared" si="15"/>
        <v>11250001</v>
      </c>
      <c r="B221" s="24">
        <f t="shared" si="17"/>
        <v>11300000</v>
      </c>
      <c r="C221" s="25">
        <f t="shared" si="18"/>
        <v>7827</v>
      </c>
      <c r="D221" s="31">
        <v>6</v>
      </c>
      <c r="E221" s="27">
        <f t="shared" si="16"/>
        <v>4696.2000000000007</v>
      </c>
    </row>
    <row r="222" spans="1:5" x14ac:dyDescent="0.25">
      <c r="A222" s="24">
        <f t="shared" si="15"/>
        <v>11300001</v>
      </c>
      <c r="B222" s="24">
        <f t="shared" si="17"/>
        <v>11350000</v>
      </c>
      <c r="C222" s="25">
        <f t="shared" si="18"/>
        <v>7861</v>
      </c>
      <c r="D222" s="31">
        <v>6</v>
      </c>
      <c r="E222" s="27">
        <f t="shared" si="16"/>
        <v>4716.6000000000004</v>
      </c>
    </row>
    <row r="223" spans="1:5" x14ac:dyDescent="0.25">
      <c r="A223" s="24">
        <f t="shared" si="15"/>
        <v>11350001</v>
      </c>
      <c r="B223" s="24">
        <f t="shared" si="17"/>
        <v>11400000</v>
      </c>
      <c r="C223" s="25">
        <f t="shared" si="18"/>
        <v>7895</v>
      </c>
      <c r="D223" s="31">
        <v>6</v>
      </c>
      <c r="E223" s="27">
        <f t="shared" si="16"/>
        <v>4737</v>
      </c>
    </row>
    <row r="224" spans="1:5" x14ac:dyDescent="0.25">
      <c r="A224" s="24">
        <f t="shared" si="15"/>
        <v>11400001</v>
      </c>
      <c r="B224" s="24">
        <f t="shared" si="17"/>
        <v>11450000</v>
      </c>
      <c r="C224" s="25">
        <f t="shared" si="18"/>
        <v>7929</v>
      </c>
      <c r="D224" s="31">
        <v>6</v>
      </c>
      <c r="E224" s="27">
        <f t="shared" si="16"/>
        <v>4757.3999999999996</v>
      </c>
    </row>
    <row r="225" spans="1:5" x14ac:dyDescent="0.25">
      <c r="A225" s="24">
        <f t="shared" si="15"/>
        <v>11450001</v>
      </c>
      <c r="B225" s="24">
        <f t="shared" si="17"/>
        <v>11500000</v>
      </c>
      <c r="C225" s="25">
        <f t="shared" si="18"/>
        <v>7963</v>
      </c>
      <c r="D225" s="31">
        <v>6</v>
      </c>
      <c r="E225" s="27">
        <f t="shared" si="16"/>
        <v>4777.7999999999993</v>
      </c>
    </row>
    <row r="226" spans="1:5" x14ac:dyDescent="0.25">
      <c r="A226" s="24">
        <f t="shared" si="15"/>
        <v>11500001</v>
      </c>
      <c r="B226" s="24">
        <f t="shared" si="17"/>
        <v>11550000</v>
      </c>
      <c r="C226" s="25">
        <f t="shared" si="18"/>
        <v>7997</v>
      </c>
      <c r="D226" s="31">
        <v>6</v>
      </c>
      <c r="E226" s="27">
        <f t="shared" si="16"/>
        <v>4798.2000000000007</v>
      </c>
    </row>
    <row r="227" spans="1:5" x14ac:dyDescent="0.25">
      <c r="A227" s="24">
        <f t="shared" si="15"/>
        <v>11550001</v>
      </c>
      <c r="B227" s="24">
        <f t="shared" si="17"/>
        <v>11600000</v>
      </c>
      <c r="C227" s="25">
        <f t="shared" si="18"/>
        <v>8031</v>
      </c>
      <c r="D227" s="31">
        <v>6</v>
      </c>
      <c r="E227" s="27">
        <f t="shared" si="16"/>
        <v>4818.6000000000004</v>
      </c>
    </row>
    <row r="228" spans="1:5" x14ac:dyDescent="0.25">
      <c r="A228" s="24">
        <f t="shared" si="15"/>
        <v>11600001</v>
      </c>
      <c r="B228" s="24">
        <f t="shared" si="17"/>
        <v>11650000</v>
      </c>
      <c r="C228" s="25">
        <f t="shared" si="18"/>
        <v>8065</v>
      </c>
      <c r="D228" s="31">
        <v>6</v>
      </c>
      <c r="E228" s="27">
        <f t="shared" si="16"/>
        <v>4839</v>
      </c>
    </row>
    <row r="229" spans="1:5" x14ac:dyDescent="0.25">
      <c r="A229" s="24">
        <f t="shared" si="15"/>
        <v>11650001</v>
      </c>
      <c r="B229" s="24">
        <f t="shared" si="17"/>
        <v>11700000</v>
      </c>
      <c r="C229" s="25">
        <f t="shared" si="18"/>
        <v>8099</v>
      </c>
      <c r="D229" s="31">
        <v>6</v>
      </c>
      <c r="E229" s="27">
        <f t="shared" si="16"/>
        <v>4859.3999999999996</v>
      </c>
    </row>
    <row r="230" spans="1:5" x14ac:dyDescent="0.25">
      <c r="A230" s="24">
        <f t="shared" si="15"/>
        <v>11700001</v>
      </c>
      <c r="B230" s="24">
        <f t="shared" si="17"/>
        <v>11750000</v>
      </c>
      <c r="C230" s="25">
        <f t="shared" si="18"/>
        <v>8133</v>
      </c>
      <c r="D230" s="31">
        <v>6</v>
      </c>
      <c r="E230" s="27">
        <f t="shared" si="16"/>
        <v>4879.7999999999993</v>
      </c>
    </row>
    <row r="231" spans="1:5" x14ac:dyDescent="0.25">
      <c r="A231" s="24">
        <f t="shared" si="15"/>
        <v>11750001</v>
      </c>
      <c r="B231" s="24">
        <f t="shared" si="17"/>
        <v>11800000</v>
      </c>
      <c r="C231" s="25">
        <f t="shared" si="18"/>
        <v>8167</v>
      </c>
      <c r="D231" s="31">
        <v>6</v>
      </c>
      <c r="E231" s="27">
        <f t="shared" si="16"/>
        <v>4900.2000000000007</v>
      </c>
    </row>
    <row r="232" spans="1:5" x14ac:dyDescent="0.25">
      <c r="A232" s="24">
        <f t="shared" si="15"/>
        <v>11800001</v>
      </c>
      <c r="B232" s="24">
        <f t="shared" si="17"/>
        <v>11850000</v>
      </c>
      <c r="C232" s="25">
        <f t="shared" si="18"/>
        <v>8201</v>
      </c>
      <c r="D232" s="31">
        <v>6</v>
      </c>
      <c r="E232" s="27">
        <f t="shared" si="16"/>
        <v>4920.6000000000004</v>
      </c>
    </row>
    <row r="233" spans="1:5" x14ac:dyDescent="0.25">
      <c r="A233" s="24">
        <f t="shared" si="15"/>
        <v>11850001</v>
      </c>
      <c r="B233" s="24">
        <f t="shared" si="17"/>
        <v>11900000</v>
      </c>
      <c r="C233" s="25">
        <f t="shared" si="18"/>
        <v>8235</v>
      </c>
      <c r="D233" s="31">
        <v>6</v>
      </c>
      <c r="E233" s="27">
        <f t="shared" si="16"/>
        <v>4941</v>
      </c>
    </row>
    <row r="234" spans="1:5" x14ac:dyDescent="0.25">
      <c r="A234" s="24">
        <f t="shared" si="15"/>
        <v>11900001</v>
      </c>
      <c r="B234" s="24">
        <f t="shared" si="17"/>
        <v>11950000</v>
      </c>
      <c r="C234" s="25">
        <f t="shared" si="18"/>
        <v>8269</v>
      </c>
      <c r="D234" s="31">
        <v>6</v>
      </c>
      <c r="E234" s="27">
        <f t="shared" si="16"/>
        <v>4961.3999999999996</v>
      </c>
    </row>
    <row r="235" spans="1:5" x14ac:dyDescent="0.25">
      <c r="A235" s="24">
        <f t="shared" si="15"/>
        <v>11950001</v>
      </c>
      <c r="B235" s="24">
        <f t="shared" si="17"/>
        <v>12000000</v>
      </c>
      <c r="C235" s="25">
        <f t="shared" si="18"/>
        <v>8303</v>
      </c>
      <c r="D235" s="31">
        <v>6</v>
      </c>
      <c r="E235" s="27">
        <f t="shared" si="16"/>
        <v>4981.7999999999993</v>
      </c>
    </row>
    <row r="236" spans="1:5" x14ac:dyDescent="0.25">
      <c r="A236" s="24">
        <f t="shared" si="15"/>
        <v>12000001</v>
      </c>
      <c r="B236" s="24">
        <f t="shared" si="17"/>
        <v>12050000</v>
      </c>
      <c r="C236" s="25">
        <f t="shared" si="18"/>
        <v>8337</v>
      </c>
      <c r="D236" s="31">
        <v>6</v>
      </c>
      <c r="E236" s="27">
        <f t="shared" si="16"/>
        <v>5002.2000000000007</v>
      </c>
    </row>
    <row r="237" spans="1:5" x14ac:dyDescent="0.25">
      <c r="A237" s="24">
        <f t="shared" si="15"/>
        <v>12050001</v>
      </c>
      <c r="B237" s="24">
        <f t="shared" si="17"/>
        <v>12100000</v>
      </c>
      <c r="C237" s="25">
        <f t="shared" si="18"/>
        <v>8371</v>
      </c>
      <c r="D237" s="31">
        <v>6</v>
      </c>
      <c r="E237" s="27">
        <f t="shared" si="16"/>
        <v>5022.6000000000004</v>
      </c>
    </row>
    <row r="238" spans="1:5" x14ac:dyDescent="0.25">
      <c r="A238" s="24">
        <f t="shared" si="15"/>
        <v>12100001</v>
      </c>
      <c r="B238" s="24">
        <f t="shared" si="17"/>
        <v>12150000</v>
      </c>
      <c r="C238" s="25">
        <f t="shared" si="18"/>
        <v>8405</v>
      </c>
      <c r="D238" s="31">
        <v>6</v>
      </c>
      <c r="E238" s="27">
        <f t="shared" si="16"/>
        <v>5043</v>
      </c>
    </row>
    <row r="239" spans="1:5" x14ac:dyDescent="0.25">
      <c r="A239" s="24">
        <f t="shared" si="15"/>
        <v>12150001</v>
      </c>
      <c r="B239" s="24">
        <f t="shared" si="17"/>
        <v>12200000</v>
      </c>
      <c r="C239" s="25">
        <f t="shared" si="18"/>
        <v>8439</v>
      </c>
      <c r="D239" s="31">
        <v>6</v>
      </c>
      <c r="E239" s="27">
        <f t="shared" si="16"/>
        <v>5063.3999999999996</v>
      </c>
    </row>
    <row r="240" spans="1:5" x14ac:dyDescent="0.25">
      <c r="A240" s="24">
        <f t="shared" si="15"/>
        <v>12200001</v>
      </c>
      <c r="B240" s="24">
        <f t="shared" si="17"/>
        <v>12250000</v>
      </c>
      <c r="C240" s="25">
        <f t="shared" si="18"/>
        <v>8473</v>
      </c>
      <c r="D240" s="31">
        <v>6</v>
      </c>
      <c r="E240" s="27">
        <f t="shared" si="16"/>
        <v>5083.7999999999993</v>
      </c>
    </row>
    <row r="241" spans="1:5" x14ac:dyDescent="0.25">
      <c r="A241" s="24">
        <f t="shared" si="15"/>
        <v>12250001</v>
      </c>
      <c r="B241" s="24">
        <f t="shared" si="17"/>
        <v>12300000</v>
      </c>
      <c r="C241" s="25">
        <f t="shared" si="18"/>
        <v>8507</v>
      </c>
      <c r="D241" s="31">
        <v>6</v>
      </c>
      <c r="E241" s="27">
        <f t="shared" si="16"/>
        <v>5104.2000000000007</v>
      </c>
    </row>
    <row r="242" spans="1:5" x14ac:dyDescent="0.25">
      <c r="A242" s="24">
        <f t="shared" si="15"/>
        <v>12300001</v>
      </c>
      <c r="B242" s="24">
        <f t="shared" si="17"/>
        <v>12350000</v>
      </c>
      <c r="C242" s="25">
        <f t="shared" si="18"/>
        <v>8541</v>
      </c>
      <c r="D242" s="31">
        <v>6</v>
      </c>
      <c r="E242" s="27">
        <f t="shared" si="16"/>
        <v>5124.6000000000004</v>
      </c>
    </row>
    <row r="243" spans="1:5" x14ac:dyDescent="0.25">
      <c r="A243" s="24">
        <f t="shared" si="15"/>
        <v>12350001</v>
      </c>
      <c r="B243" s="24">
        <f t="shared" si="17"/>
        <v>12400000</v>
      </c>
      <c r="C243" s="25">
        <f t="shared" si="18"/>
        <v>8575</v>
      </c>
      <c r="D243" s="31">
        <v>6</v>
      </c>
      <c r="E243" s="27">
        <f t="shared" si="16"/>
        <v>5145</v>
      </c>
    </row>
    <row r="244" spans="1:5" x14ac:dyDescent="0.25">
      <c r="A244" s="24">
        <f t="shared" si="15"/>
        <v>12400001</v>
      </c>
      <c r="B244" s="24">
        <f t="shared" si="17"/>
        <v>12450000</v>
      </c>
      <c r="C244" s="25">
        <f t="shared" si="18"/>
        <v>8609</v>
      </c>
      <c r="D244" s="31">
        <v>6</v>
      </c>
      <c r="E244" s="27">
        <f t="shared" si="16"/>
        <v>5165.3999999999996</v>
      </c>
    </row>
    <row r="245" spans="1:5" x14ac:dyDescent="0.25">
      <c r="A245" s="24">
        <f t="shared" si="15"/>
        <v>12450001</v>
      </c>
      <c r="B245" s="24">
        <f t="shared" si="17"/>
        <v>12500000</v>
      </c>
      <c r="C245" s="25">
        <f t="shared" si="18"/>
        <v>8643</v>
      </c>
      <c r="D245" s="31">
        <v>6</v>
      </c>
      <c r="E245" s="27">
        <f t="shared" si="16"/>
        <v>5185.7999999999993</v>
      </c>
    </row>
    <row r="246" spans="1:5" x14ac:dyDescent="0.25">
      <c r="A246" s="24">
        <f t="shared" si="15"/>
        <v>12500001</v>
      </c>
      <c r="B246" s="24">
        <f t="shared" si="17"/>
        <v>12550000</v>
      </c>
      <c r="C246" s="25">
        <f t="shared" si="18"/>
        <v>8677</v>
      </c>
      <c r="D246" s="31">
        <v>6</v>
      </c>
      <c r="E246" s="27">
        <f t="shared" si="16"/>
        <v>5206.2000000000007</v>
      </c>
    </row>
    <row r="247" spans="1:5" x14ac:dyDescent="0.25">
      <c r="A247" s="24">
        <f t="shared" si="15"/>
        <v>12550001</v>
      </c>
      <c r="B247" s="24">
        <f t="shared" si="17"/>
        <v>12600000</v>
      </c>
      <c r="C247" s="25">
        <f t="shared" si="18"/>
        <v>8711</v>
      </c>
      <c r="D247" s="31">
        <v>6</v>
      </c>
      <c r="E247" s="27">
        <f t="shared" si="16"/>
        <v>5226.6000000000004</v>
      </c>
    </row>
    <row r="248" spans="1:5" x14ac:dyDescent="0.25">
      <c r="A248" s="24">
        <f t="shared" si="15"/>
        <v>12600001</v>
      </c>
      <c r="B248" s="24">
        <f t="shared" si="17"/>
        <v>12650000</v>
      </c>
      <c r="C248" s="25">
        <f t="shared" si="18"/>
        <v>8745</v>
      </c>
      <c r="D248" s="31">
        <v>6</v>
      </c>
      <c r="E248" s="27">
        <f t="shared" si="16"/>
        <v>5247</v>
      </c>
    </row>
    <row r="249" spans="1:5" x14ac:dyDescent="0.25">
      <c r="A249" s="24">
        <f t="shared" si="15"/>
        <v>12650001</v>
      </c>
      <c r="B249" s="24">
        <f t="shared" si="17"/>
        <v>12700000</v>
      </c>
      <c r="C249" s="25">
        <f t="shared" si="18"/>
        <v>8779</v>
      </c>
      <c r="D249" s="31">
        <v>6</v>
      </c>
      <c r="E249" s="27">
        <f t="shared" si="16"/>
        <v>5267.4</v>
      </c>
    </row>
    <row r="250" spans="1:5" x14ac:dyDescent="0.25">
      <c r="A250" s="24">
        <f t="shared" si="15"/>
        <v>12700001</v>
      </c>
      <c r="B250" s="24">
        <f t="shared" si="17"/>
        <v>12750000</v>
      </c>
      <c r="C250" s="25">
        <f t="shared" si="18"/>
        <v>8813</v>
      </c>
      <c r="D250" s="31">
        <v>6</v>
      </c>
      <c r="E250" s="27">
        <f t="shared" si="16"/>
        <v>5287.7999999999993</v>
      </c>
    </row>
    <row r="251" spans="1:5" x14ac:dyDescent="0.25">
      <c r="A251" s="24">
        <f t="shared" si="15"/>
        <v>12750001</v>
      </c>
      <c r="B251" s="24">
        <f t="shared" si="17"/>
        <v>12800000</v>
      </c>
      <c r="C251" s="25">
        <f t="shared" si="18"/>
        <v>8847</v>
      </c>
      <c r="D251" s="31">
        <v>6</v>
      </c>
      <c r="E251" s="27">
        <f t="shared" si="16"/>
        <v>5308.2000000000007</v>
      </c>
    </row>
    <row r="252" spans="1:5" x14ac:dyDescent="0.25">
      <c r="A252" s="24">
        <f t="shared" si="15"/>
        <v>12800001</v>
      </c>
      <c r="B252" s="24">
        <f t="shared" si="17"/>
        <v>12850000</v>
      </c>
      <c r="C252" s="25">
        <f t="shared" si="18"/>
        <v>8881</v>
      </c>
      <c r="D252" s="31">
        <v>6</v>
      </c>
      <c r="E252" s="27">
        <f t="shared" si="16"/>
        <v>5328.6</v>
      </c>
    </row>
    <row r="253" spans="1:5" x14ac:dyDescent="0.25">
      <c r="A253" s="24">
        <f t="shared" si="15"/>
        <v>12850001</v>
      </c>
      <c r="B253" s="24">
        <f t="shared" si="17"/>
        <v>12900000</v>
      </c>
      <c r="C253" s="25">
        <f t="shared" si="18"/>
        <v>8915</v>
      </c>
      <c r="D253" s="31">
        <v>6</v>
      </c>
      <c r="E253" s="27">
        <f t="shared" si="16"/>
        <v>5349</v>
      </c>
    </row>
    <row r="254" spans="1:5" x14ac:dyDescent="0.25">
      <c r="A254" s="24">
        <f t="shared" ref="A254:A295" si="19">B253+1</f>
        <v>12900001</v>
      </c>
      <c r="B254" s="24">
        <f t="shared" si="17"/>
        <v>12950000</v>
      </c>
      <c r="C254" s="25">
        <f t="shared" si="18"/>
        <v>8949</v>
      </c>
      <c r="D254" s="31">
        <v>6</v>
      </c>
      <c r="E254" s="27">
        <f t="shared" ref="E254:E295" si="20">C254/10*D254</f>
        <v>5369.4</v>
      </c>
    </row>
    <row r="255" spans="1:5" x14ac:dyDescent="0.25">
      <c r="A255" s="24">
        <f t="shared" si="19"/>
        <v>12950001</v>
      </c>
      <c r="B255" s="24">
        <f t="shared" ref="B255:B295" si="21">B254+50000</f>
        <v>13000000</v>
      </c>
      <c r="C255" s="25">
        <f t="shared" si="18"/>
        <v>8983</v>
      </c>
      <c r="D255" s="31">
        <v>6</v>
      </c>
      <c r="E255" s="27">
        <f t="shared" si="20"/>
        <v>5389.7999999999993</v>
      </c>
    </row>
    <row r="256" spans="1:5" x14ac:dyDescent="0.25">
      <c r="A256" s="24">
        <f t="shared" si="19"/>
        <v>13000001</v>
      </c>
      <c r="B256" s="24">
        <f t="shared" si="21"/>
        <v>13050000</v>
      </c>
      <c r="C256" s="25">
        <f t="shared" si="18"/>
        <v>9017</v>
      </c>
      <c r="D256" s="31">
        <v>6</v>
      </c>
      <c r="E256" s="27">
        <f t="shared" si="20"/>
        <v>5410.2000000000007</v>
      </c>
    </row>
    <row r="257" spans="1:5" x14ac:dyDescent="0.25">
      <c r="A257" s="24">
        <f t="shared" si="19"/>
        <v>13050001</v>
      </c>
      <c r="B257" s="24">
        <f t="shared" si="21"/>
        <v>13100000</v>
      </c>
      <c r="C257" s="25">
        <f t="shared" si="18"/>
        <v>9051</v>
      </c>
      <c r="D257" s="31">
        <v>6</v>
      </c>
      <c r="E257" s="27">
        <f t="shared" si="20"/>
        <v>5430.6</v>
      </c>
    </row>
    <row r="258" spans="1:5" x14ac:dyDescent="0.25">
      <c r="A258" s="24">
        <f t="shared" si="19"/>
        <v>13100001</v>
      </c>
      <c r="B258" s="24">
        <f t="shared" si="21"/>
        <v>13150000</v>
      </c>
      <c r="C258" s="25">
        <f t="shared" si="18"/>
        <v>9085</v>
      </c>
      <c r="D258" s="31">
        <v>6</v>
      </c>
      <c r="E258" s="27">
        <f t="shared" si="20"/>
        <v>5451</v>
      </c>
    </row>
    <row r="259" spans="1:5" x14ac:dyDescent="0.25">
      <c r="A259" s="24">
        <f t="shared" si="19"/>
        <v>13150001</v>
      </c>
      <c r="B259" s="24">
        <f t="shared" si="21"/>
        <v>13200000</v>
      </c>
      <c r="C259" s="25">
        <f t="shared" si="18"/>
        <v>9119</v>
      </c>
      <c r="D259" s="31">
        <v>6</v>
      </c>
      <c r="E259" s="27">
        <f t="shared" si="20"/>
        <v>5471.4</v>
      </c>
    </row>
    <row r="260" spans="1:5" x14ac:dyDescent="0.25">
      <c r="A260" s="24">
        <f t="shared" si="19"/>
        <v>13200001</v>
      </c>
      <c r="B260" s="24">
        <f t="shared" si="21"/>
        <v>13250000</v>
      </c>
      <c r="C260" s="25">
        <f t="shared" si="18"/>
        <v>9153</v>
      </c>
      <c r="D260" s="31">
        <v>6</v>
      </c>
      <c r="E260" s="27">
        <f t="shared" si="20"/>
        <v>5491.7999999999993</v>
      </c>
    </row>
    <row r="261" spans="1:5" x14ac:dyDescent="0.25">
      <c r="A261" s="24">
        <f t="shared" si="19"/>
        <v>13250001</v>
      </c>
      <c r="B261" s="24">
        <f t="shared" si="21"/>
        <v>13300000</v>
      </c>
      <c r="C261" s="25">
        <f t="shared" si="18"/>
        <v>9187</v>
      </c>
      <c r="D261" s="31">
        <v>6</v>
      </c>
      <c r="E261" s="27">
        <f t="shared" si="20"/>
        <v>5512.2000000000007</v>
      </c>
    </row>
    <row r="262" spans="1:5" x14ac:dyDescent="0.25">
      <c r="A262" s="24">
        <f t="shared" si="19"/>
        <v>13300001</v>
      </c>
      <c r="B262" s="24">
        <f t="shared" si="21"/>
        <v>13350000</v>
      </c>
      <c r="C262" s="25">
        <f t="shared" ref="C262:C295" si="22">C261+34</f>
        <v>9221</v>
      </c>
      <c r="D262" s="31">
        <v>6</v>
      </c>
      <c r="E262" s="27">
        <f t="shared" si="20"/>
        <v>5532.6</v>
      </c>
    </row>
    <row r="263" spans="1:5" x14ac:dyDescent="0.25">
      <c r="A263" s="24">
        <f t="shared" si="19"/>
        <v>13350001</v>
      </c>
      <c r="B263" s="24">
        <f t="shared" si="21"/>
        <v>13400000</v>
      </c>
      <c r="C263" s="25">
        <f t="shared" si="22"/>
        <v>9255</v>
      </c>
      <c r="D263" s="31">
        <v>6</v>
      </c>
      <c r="E263" s="27">
        <f t="shared" si="20"/>
        <v>5553</v>
      </c>
    </row>
    <row r="264" spans="1:5" x14ac:dyDescent="0.25">
      <c r="A264" s="24">
        <f t="shared" si="19"/>
        <v>13400001</v>
      </c>
      <c r="B264" s="24">
        <f t="shared" si="21"/>
        <v>13450000</v>
      </c>
      <c r="C264" s="25">
        <f t="shared" si="22"/>
        <v>9289</v>
      </c>
      <c r="D264" s="31">
        <v>6</v>
      </c>
      <c r="E264" s="27">
        <f t="shared" si="20"/>
        <v>5573.4</v>
      </c>
    </row>
    <row r="265" spans="1:5" x14ac:dyDescent="0.25">
      <c r="A265" s="24">
        <f t="shared" si="19"/>
        <v>13450001</v>
      </c>
      <c r="B265" s="24">
        <f t="shared" si="21"/>
        <v>13500000</v>
      </c>
      <c r="C265" s="25">
        <f t="shared" si="22"/>
        <v>9323</v>
      </c>
      <c r="D265" s="31">
        <v>6</v>
      </c>
      <c r="E265" s="27">
        <f t="shared" si="20"/>
        <v>5593.7999999999993</v>
      </c>
    </row>
    <row r="266" spans="1:5" x14ac:dyDescent="0.25">
      <c r="A266" s="24">
        <f t="shared" si="19"/>
        <v>13500001</v>
      </c>
      <c r="B266" s="24">
        <f t="shared" si="21"/>
        <v>13550000</v>
      </c>
      <c r="C266" s="25">
        <f t="shared" si="22"/>
        <v>9357</v>
      </c>
      <c r="D266" s="31">
        <v>6</v>
      </c>
      <c r="E266" s="27">
        <f t="shared" si="20"/>
        <v>5614.2000000000007</v>
      </c>
    </row>
    <row r="267" spans="1:5" x14ac:dyDescent="0.25">
      <c r="A267" s="24">
        <f t="shared" si="19"/>
        <v>13550001</v>
      </c>
      <c r="B267" s="24">
        <f t="shared" si="21"/>
        <v>13600000</v>
      </c>
      <c r="C267" s="25">
        <f t="shared" si="22"/>
        <v>9391</v>
      </c>
      <c r="D267" s="31">
        <v>6</v>
      </c>
      <c r="E267" s="27">
        <f t="shared" si="20"/>
        <v>5634.6</v>
      </c>
    </row>
    <row r="268" spans="1:5" x14ac:dyDescent="0.25">
      <c r="A268" s="24">
        <f t="shared" si="19"/>
        <v>13600001</v>
      </c>
      <c r="B268" s="24">
        <f t="shared" si="21"/>
        <v>13650000</v>
      </c>
      <c r="C268" s="25">
        <f t="shared" si="22"/>
        <v>9425</v>
      </c>
      <c r="D268" s="31">
        <v>6</v>
      </c>
      <c r="E268" s="27">
        <f t="shared" si="20"/>
        <v>5655</v>
      </c>
    </row>
    <row r="269" spans="1:5" x14ac:dyDescent="0.25">
      <c r="A269" s="24">
        <f t="shared" si="19"/>
        <v>13650001</v>
      </c>
      <c r="B269" s="24">
        <f t="shared" si="21"/>
        <v>13700000</v>
      </c>
      <c r="C269" s="25">
        <f t="shared" si="22"/>
        <v>9459</v>
      </c>
      <c r="D269" s="31">
        <v>6</v>
      </c>
      <c r="E269" s="27">
        <f t="shared" si="20"/>
        <v>5675.4</v>
      </c>
    </row>
    <row r="270" spans="1:5" x14ac:dyDescent="0.25">
      <c r="A270" s="24">
        <f t="shared" si="19"/>
        <v>13700001</v>
      </c>
      <c r="B270" s="24">
        <f t="shared" si="21"/>
        <v>13750000</v>
      </c>
      <c r="C270" s="25">
        <f t="shared" si="22"/>
        <v>9493</v>
      </c>
      <c r="D270" s="31">
        <v>6</v>
      </c>
      <c r="E270" s="27">
        <f t="shared" si="20"/>
        <v>5695.7999999999993</v>
      </c>
    </row>
    <row r="271" spans="1:5" x14ac:dyDescent="0.25">
      <c r="A271" s="24">
        <f t="shared" si="19"/>
        <v>13750001</v>
      </c>
      <c r="B271" s="24">
        <f t="shared" si="21"/>
        <v>13800000</v>
      </c>
      <c r="C271" s="25">
        <f t="shared" si="22"/>
        <v>9527</v>
      </c>
      <c r="D271" s="31">
        <v>6</v>
      </c>
      <c r="E271" s="27">
        <f t="shared" si="20"/>
        <v>5716.2000000000007</v>
      </c>
    </row>
    <row r="272" spans="1:5" x14ac:dyDescent="0.25">
      <c r="A272" s="24">
        <f t="shared" si="19"/>
        <v>13800001</v>
      </c>
      <c r="B272" s="24">
        <f t="shared" si="21"/>
        <v>13850000</v>
      </c>
      <c r="C272" s="25">
        <f t="shared" si="22"/>
        <v>9561</v>
      </c>
      <c r="D272" s="31">
        <v>6</v>
      </c>
      <c r="E272" s="27">
        <f t="shared" si="20"/>
        <v>5736.6</v>
      </c>
    </row>
    <row r="273" spans="1:5" x14ac:dyDescent="0.25">
      <c r="A273" s="24">
        <f t="shared" si="19"/>
        <v>13850001</v>
      </c>
      <c r="B273" s="24">
        <f t="shared" si="21"/>
        <v>13900000</v>
      </c>
      <c r="C273" s="25">
        <f t="shared" si="22"/>
        <v>9595</v>
      </c>
      <c r="D273" s="31">
        <v>6</v>
      </c>
      <c r="E273" s="27">
        <f t="shared" si="20"/>
        <v>5757</v>
      </c>
    </row>
    <row r="274" spans="1:5" x14ac:dyDescent="0.25">
      <c r="A274" s="24">
        <f t="shared" si="19"/>
        <v>13900001</v>
      </c>
      <c r="B274" s="24">
        <f t="shared" si="21"/>
        <v>13950000</v>
      </c>
      <c r="C274" s="25">
        <f t="shared" si="22"/>
        <v>9629</v>
      </c>
      <c r="D274" s="31">
        <v>6</v>
      </c>
      <c r="E274" s="27">
        <f t="shared" si="20"/>
        <v>5777.4</v>
      </c>
    </row>
    <row r="275" spans="1:5" x14ac:dyDescent="0.25">
      <c r="A275" s="24">
        <f t="shared" si="19"/>
        <v>13950001</v>
      </c>
      <c r="B275" s="24">
        <f t="shared" si="21"/>
        <v>14000000</v>
      </c>
      <c r="C275" s="25">
        <f t="shared" si="22"/>
        <v>9663</v>
      </c>
      <c r="D275" s="31">
        <v>6</v>
      </c>
      <c r="E275" s="27">
        <f t="shared" si="20"/>
        <v>5797.7999999999993</v>
      </c>
    </row>
    <row r="276" spans="1:5" x14ac:dyDescent="0.25">
      <c r="A276" s="24">
        <f t="shared" si="19"/>
        <v>14000001</v>
      </c>
      <c r="B276" s="24">
        <f t="shared" si="21"/>
        <v>14050000</v>
      </c>
      <c r="C276" s="25">
        <f t="shared" si="22"/>
        <v>9697</v>
      </c>
      <c r="D276" s="31">
        <v>6</v>
      </c>
      <c r="E276" s="27">
        <f t="shared" si="20"/>
        <v>5818.2000000000007</v>
      </c>
    </row>
    <row r="277" spans="1:5" x14ac:dyDescent="0.25">
      <c r="A277" s="24">
        <f t="shared" si="19"/>
        <v>14050001</v>
      </c>
      <c r="B277" s="24">
        <f t="shared" si="21"/>
        <v>14100000</v>
      </c>
      <c r="C277" s="25">
        <f t="shared" si="22"/>
        <v>9731</v>
      </c>
      <c r="D277" s="31">
        <v>6</v>
      </c>
      <c r="E277" s="27">
        <f t="shared" si="20"/>
        <v>5838.6</v>
      </c>
    </row>
    <row r="278" spans="1:5" x14ac:dyDescent="0.25">
      <c r="A278" s="24">
        <f t="shared" si="19"/>
        <v>14100001</v>
      </c>
      <c r="B278" s="24">
        <f t="shared" si="21"/>
        <v>14150000</v>
      </c>
      <c r="C278" s="25">
        <f t="shared" si="22"/>
        <v>9765</v>
      </c>
      <c r="D278" s="31">
        <v>6</v>
      </c>
      <c r="E278" s="27">
        <f t="shared" si="20"/>
        <v>5859</v>
      </c>
    </row>
    <row r="279" spans="1:5" x14ac:dyDescent="0.25">
      <c r="A279" s="24">
        <f t="shared" si="19"/>
        <v>14150001</v>
      </c>
      <c r="B279" s="24">
        <f t="shared" si="21"/>
        <v>14200000</v>
      </c>
      <c r="C279" s="25">
        <f t="shared" si="22"/>
        <v>9799</v>
      </c>
      <c r="D279" s="31">
        <v>6</v>
      </c>
      <c r="E279" s="27">
        <f t="shared" si="20"/>
        <v>5879.4</v>
      </c>
    </row>
    <row r="280" spans="1:5" x14ac:dyDescent="0.25">
      <c r="A280" s="24">
        <f t="shared" si="19"/>
        <v>14200001</v>
      </c>
      <c r="B280" s="24">
        <f t="shared" si="21"/>
        <v>14250000</v>
      </c>
      <c r="C280" s="25">
        <f t="shared" si="22"/>
        <v>9833</v>
      </c>
      <c r="D280" s="31">
        <v>6</v>
      </c>
      <c r="E280" s="27">
        <f t="shared" si="20"/>
        <v>5899.7999999999993</v>
      </c>
    </row>
    <row r="281" spans="1:5" x14ac:dyDescent="0.25">
      <c r="A281" s="24">
        <f t="shared" si="19"/>
        <v>14250001</v>
      </c>
      <c r="B281" s="24">
        <f t="shared" si="21"/>
        <v>14300000</v>
      </c>
      <c r="C281" s="25">
        <f t="shared" si="22"/>
        <v>9867</v>
      </c>
      <c r="D281" s="31">
        <v>6</v>
      </c>
      <c r="E281" s="27">
        <f t="shared" si="20"/>
        <v>5920.2000000000007</v>
      </c>
    </row>
    <row r="282" spans="1:5" x14ac:dyDescent="0.25">
      <c r="A282" s="24">
        <f t="shared" si="19"/>
        <v>14300001</v>
      </c>
      <c r="B282" s="24">
        <f t="shared" si="21"/>
        <v>14350000</v>
      </c>
      <c r="C282" s="25">
        <f t="shared" si="22"/>
        <v>9901</v>
      </c>
      <c r="D282" s="31">
        <v>6</v>
      </c>
      <c r="E282" s="27">
        <f t="shared" si="20"/>
        <v>5940.6</v>
      </c>
    </row>
    <row r="283" spans="1:5" x14ac:dyDescent="0.25">
      <c r="A283" s="24">
        <f t="shared" si="19"/>
        <v>14350001</v>
      </c>
      <c r="B283" s="24">
        <f t="shared" si="21"/>
        <v>14400000</v>
      </c>
      <c r="C283" s="25">
        <f t="shared" si="22"/>
        <v>9935</v>
      </c>
      <c r="D283" s="31">
        <v>6</v>
      </c>
      <c r="E283" s="27">
        <f t="shared" si="20"/>
        <v>5961</v>
      </c>
    </row>
    <row r="284" spans="1:5" x14ac:dyDescent="0.25">
      <c r="A284" s="24">
        <f t="shared" si="19"/>
        <v>14400001</v>
      </c>
      <c r="B284" s="24">
        <f t="shared" si="21"/>
        <v>14450000</v>
      </c>
      <c r="C284" s="25">
        <f t="shared" si="22"/>
        <v>9969</v>
      </c>
      <c r="D284" s="31">
        <v>6</v>
      </c>
      <c r="E284" s="27">
        <f t="shared" si="20"/>
        <v>5981.4</v>
      </c>
    </row>
    <row r="285" spans="1:5" x14ac:dyDescent="0.25">
      <c r="A285" s="24">
        <f t="shared" si="19"/>
        <v>14450001</v>
      </c>
      <c r="B285" s="24">
        <f t="shared" si="21"/>
        <v>14500000</v>
      </c>
      <c r="C285" s="25">
        <f t="shared" si="22"/>
        <v>10003</v>
      </c>
      <c r="D285" s="31">
        <v>6</v>
      </c>
      <c r="E285" s="27">
        <f t="shared" si="20"/>
        <v>6001.7999999999993</v>
      </c>
    </row>
    <row r="286" spans="1:5" x14ac:dyDescent="0.25">
      <c r="A286" s="24">
        <f t="shared" si="19"/>
        <v>14500001</v>
      </c>
      <c r="B286" s="24">
        <f t="shared" si="21"/>
        <v>14550000</v>
      </c>
      <c r="C286" s="25">
        <f t="shared" si="22"/>
        <v>10037</v>
      </c>
      <c r="D286" s="31">
        <v>6</v>
      </c>
      <c r="E286" s="27">
        <f t="shared" si="20"/>
        <v>6022.2000000000007</v>
      </c>
    </row>
    <row r="287" spans="1:5" x14ac:dyDescent="0.25">
      <c r="A287" s="24">
        <f t="shared" si="19"/>
        <v>14550001</v>
      </c>
      <c r="B287" s="24">
        <f t="shared" si="21"/>
        <v>14600000</v>
      </c>
      <c r="C287" s="25">
        <f t="shared" si="22"/>
        <v>10071</v>
      </c>
      <c r="D287" s="31">
        <v>6</v>
      </c>
      <c r="E287" s="27">
        <f t="shared" si="20"/>
        <v>6042.6</v>
      </c>
    </row>
    <row r="288" spans="1:5" x14ac:dyDescent="0.25">
      <c r="A288" s="24">
        <f t="shared" si="19"/>
        <v>14600001</v>
      </c>
      <c r="B288" s="24">
        <f t="shared" si="21"/>
        <v>14650000</v>
      </c>
      <c r="C288" s="25">
        <f t="shared" si="22"/>
        <v>10105</v>
      </c>
      <c r="D288" s="31">
        <v>6</v>
      </c>
      <c r="E288" s="27">
        <f t="shared" si="20"/>
        <v>6063</v>
      </c>
    </row>
    <row r="289" spans="1:5" x14ac:dyDescent="0.25">
      <c r="A289" s="24">
        <f t="shared" si="19"/>
        <v>14650001</v>
      </c>
      <c r="B289" s="24">
        <f t="shared" si="21"/>
        <v>14700000</v>
      </c>
      <c r="C289" s="25">
        <f t="shared" si="22"/>
        <v>10139</v>
      </c>
      <c r="D289" s="31">
        <v>6</v>
      </c>
      <c r="E289" s="27">
        <f t="shared" si="20"/>
        <v>6083.4</v>
      </c>
    </row>
    <row r="290" spans="1:5" x14ac:dyDescent="0.25">
      <c r="A290" s="24">
        <f t="shared" si="19"/>
        <v>14700001</v>
      </c>
      <c r="B290" s="24">
        <f t="shared" si="21"/>
        <v>14750000</v>
      </c>
      <c r="C290" s="25">
        <f t="shared" si="22"/>
        <v>10173</v>
      </c>
      <c r="D290" s="31">
        <v>6</v>
      </c>
      <c r="E290" s="27">
        <f t="shared" si="20"/>
        <v>6103.7999999999993</v>
      </c>
    </row>
    <row r="291" spans="1:5" x14ac:dyDescent="0.25">
      <c r="A291" s="24">
        <f t="shared" si="19"/>
        <v>14750001</v>
      </c>
      <c r="B291" s="24">
        <f t="shared" si="21"/>
        <v>14800000</v>
      </c>
      <c r="C291" s="25">
        <f t="shared" si="22"/>
        <v>10207</v>
      </c>
      <c r="D291" s="31">
        <v>6</v>
      </c>
      <c r="E291" s="27">
        <f t="shared" si="20"/>
        <v>6124.2000000000007</v>
      </c>
    </row>
    <row r="292" spans="1:5" x14ac:dyDescent="0.25">
      <c r="A292" s="24">
        <f t="shared" si="19"/>
        <v>14800001</v>
      </c>
      <c r="B292" s="24">
        <f t="shared" si="21"/>
        <v>14850000</v>
      </c>
      <c r="C292" s="25">
        <f t="shared" si="22"/>
        <v>10241</v>
      </c>
      <c r="D292" s="31">
        <v>6</v>
      </c>
      <c r="E292" s="27">
        <f t="shared" si="20"/>
        <v>6144.5999999999995</v>
      </c>
    </row>
    <row r="293" spans="1:5" x14ac:dyDescent="0.25">
      <c r="A293" s="24">
        <f t="shared" si="19"/>
        <v>14850001</v>
      </c>
      <c r="B293" s="24">
        <f t="shared" si="21"/>
        <v>14900000</v>
      </c>
      <c r="C293" s="25">
        <f t="shared" si="22"/>
        <v>10275</v>
      </c>
      <c r="D293" s="31">
        <v>6</v>
      </c>
      <c r="E293" s="27">
        <f t="shared" si="20"/>
        <v>6165</v>
      </c>
    </row>
    <row r="294" spans="1:5" x14ac:dyDescent="0.25">
      <c r="A294" s="24">
        <f t="shared" si="19"/>
        <v>14900001</v>
      </c>
      <c r="B294" s="24">
        <f t="shared" si="21"/>
        <v>14950000</v>
      </c>
      <c r="C294" s="25">
        <f t="shared" si="22"/>
        <v>10309</v>
      </c>
      <c r="D294" s="31">
        <v>6</v>
      </c>
      <c r="E294" s="27">
        <f t="shared" si="20"/>
        <v>6185.4000000000005</v>
      </c>
    </row>
    <row r="295" spans="1:5" x14ac:dyDescent="0.25">
      <c r="A295" s="24">
        <f t="shared" si="19"/>
        <v>14950001</v>
      </c>
      <c r="B295" s="24">
        <f t="shared" si="21"/>
        <v>15000000</v>
      </c>
      <c r="C295" s="25">
        <f t="shared" si="22"/>
        <v>10343</v>
      </c>
      <c r="D295" s="31">
        <v>6</v>
      </c>
      <c r="E295" s="27">
        <f t="shared" si="20"/>
        <v>6205.7999999999993</v>
      </c>
    </row>
    <row r="397" spans="1:5" x14ac:dyDescent="0.25">
      <c r="A397" s="32"/>
      <c r="B397" s="32"/>
      <c r="C397" s="33"/>
      <c r="D397" s="34"/>
      <c r="E397" s="35"/>
    </row>
    <row r="398" spans="1:5" x14ac:dyDescent="0.25">
      <c r="A398" s="32"/>
      <c r="B398" s="32"/>
      <c r="C398" s="33"/>
      <c r="D398" s="34"/>
      <c r="E398" s="35"/>
    </row>
    <row r="399" spans="1:5" x14ac:dyDescent="0.25">
      <c r="A399" s="32"/>
      <c r="B399" s="32"/>
      <c r="C399" s="33"/>
      <c r="D399" s="34"/>
      <c r="E399" s="35"/>
    </row>
    <row r="400" spans="1:5" x14ac:dyDescent="0.25">
      <c r="A400" s="32"/>
      <c r="B400" s="32"/>
      <c r="C400" s="33"/>
      <c r="D400" s="34"/>
      <c r="E400" s="35"/>
    </row>
    <row r="401" spans="1:5" x14ac:dyDescent="0.25">
      <c r="A401" s="32"/>
      <c r="B401" s="32"/>
      <c r="C401" s="33"/>
      <c r="D401" s="34"/>
      <c r="E401" s="35"/>
    </row>
    <row r="402" spans="1:5" x14ac:dyDescent="0.25">
      <c r="A402" s="32"/>
      <c r="B402" s="32"/>
      <c r="C402" s="33"/>
      <c r="D402" s="34"/>
      <c r="E402" s="35"/>
    </row>
    <row r="403" spans="1:5" x14ac:dyDescent="0.25">
      <c r="A403" s="32"/>
      <c r="B403" s="32"/>
      <c r="C403" s="33"/>
      <c r="D403" s="34"/>
      <c r="E403" s="35"/>
    </row>
    <row r="404" spans="1:5" x14ac:dyDescent="0.25">
      <c r="A404" s="32"/>
      <c r="B404" s="32"/>
      <c r="C404" s="33"/>
      <c r="D404" s="34"/>
      <c r="E404" s="35"/>
    </row>
    <row r="405" spans="1:5" x14ac:dyDescent="0.25">
      <c r="A405" s="32"/>
      <c r="B405" s="32"/>
      <c r="C405" s="33"/>
      <c r="D405" s="34"/>
      <c r="E405" s="35"/>
    </row>
    <row r="406" spans="1:5" x14ac:dyDescent="0.25">
      <c r="A406" s="32"/>
      <c r="B406" s="32"/>
      <c r="C406" s="33"/>
      <c r="D406" s="34"/>
      <c r="E406" s="35"/>
    </row>
    <row r="407" spans="1:5" x14ac:dyDescent="0.25">
      <c r="A407" s="32"/>
      <c r="B407" s="32"/>
      <c r="C407" s="33"/>
      <c r="D407" s="34"/>
      <c r="E407" s="35"/>
    </row>
    <row r="408" spans="1:5" x14ac:dyDescent="0.25">
      <c r="A408" s="32"/>
      <c r="B408" s="32"/>
      <c r="C408" s="33"/>
      <c r="D408" s="34"/>
      <c r="E408" s="35"/>
    </row>
    <row r="409" spans="1:5" x14ac:dyDescent="0.25">
      <c r="A409" s="32"/>
      <c r="B409" s="32"/>
      <c r="C409" s="33"/>
      <c r="D409" s="34"/>
      <c r="E409" s="35"/>
    </row>
    <row r="410" spans="1:5" x14ac:dyDescent="0.25">
      <c r="A410" s="32"/>
      <c r="B410" s="32"/>
      <c r="C410" s="33"/>
      <c r="D410" s="34"/>
      <c r="E410" s="35"/>
    </row>
    <row r="411" spans="1:5" x14ac:dyDescent="0.25">
      <c r="A411" s="32"/>
      <c r="B411" s="32"/>
      <c r="C411" s="33"/>
      <c r="D411" s="34"/>
      <c r="E411" s="35"/>
    </row>
    <row r="412" spans="1:5" x14ac:dyDescent="0.25">
      <c r="A412" s="32"/>
      <c r="B412" s="32"/>
      <c r="C412" s="33"/>
      <c r="D412" s="34"/>
      <c r="E412" s="35"/>
    </row>
    <row r="413" spans="1:5" x14ac:dyDescent="0.25">
      <c r="A413" s="32"/>
      <c r="B413" s="32"/>
      <c r="C413" s="33"/>
      <c r="D413" s="34"/>
      <c r="E413" s="35"/>
    </row>
    <row r="414" spans="1:5" x14ac:dyDescent="0.25">
      <c r="A414" s="32"/>
      <c r="B414" s="32"/>
      <c r="C414" s="33"/>
      <c r="D414" s="34"/>
      <c r="E414" s="35"/>
    </row>
    <row r="415" spans="1:5" x14ac:dyDescent="0.25">
      <c r="A415" s="32"/>
      <c r="B415" s="32"/>
      <c r="C415" s="33"/>
      <c r="D415" s="34"/>
      <c r="E415" s="35"/>
    </row>
    <row r="416" spans="1:5" x14ac:dyDescent="0.25">
      <c r="A416" s="32"/>
      <c r="B416" s="32"/>
      <c r="C416" s="33"/>
      <c r="D416" s="34"/>
      <c r="E416" s="35"/>
    </row>
    <row r="417" spans="1:5" x14ac:dyDescent="0.25">
      <c r="A417" s="32"/>
      <c r="B417" s="32"/>
      <c r="C417" s="33"/>
      <c r="D417" s="34"/>
      <c r="E417" s="35"/>
    </row>
    <row r="418" spans="1:5" x14ac:dyDescent="0.25">
      <c r="A418" s="32"/>
      <c r="B418" s="32"/>
      <c r="C418" s="33"/>
      <c r="D418" s="34"/>
      <c r="E418" s="35"/>
    </row>
    <row r="419" spans="1:5" x14ac:dyDescent="0.25">
      <c r="A419" s="32"/>
      <c r="B419" s="32"/>
      <c r="C419" s="33"/>
      <c r="D419" s="34"/>
      <c r="E419" s="35"/>
    </row>
    <row r="420" spans="1:5" x14ac:dyDescent="0.25">
      <c r="A420" s="32"/>
      <c r="B420" s="32"/>
      <c r="C420" s="33"/>
      <c r="D420" s="34"/>
      <c r="E420" s="35"/>
    </row>
    <row r="421" spans="1:5" x14ac:dyDescent="0.25">
      <c r="A421" s="32"/>
      <c r="B421" s="32"/>
      <c r="C421" s="33"/>
      <c r="D421" s="34"/>
      <c r="E421" s="35"/>
    </row>
    <row r="422" spans="1:5" x14ac:dyDescent="0.25">
      <c r="A422" s="32"/>
      <c r="B422" s="32"/>
      <c r="C422" s="33"/>
      <c r="D422" s="34"/>
      <c r="E422" s="35"/>
    </row>
    <row r="423" spans="1:5" x14ac:dyDescent="0.25">
      <c r="A423" s="32"/>
      <c r="B423" s="32"/>
      <c r="C423" s="33"/>
      <c r="D423" s="34"/>
      <c r="E423" s="35"/>
    </row>
    <row r="424" spans="1:5" x14ac:dyDescent="0.25">
      <c r="A424" s="32"/>
      <c r="B424" s="32"/>
      <c r="C424" s="33"/>
      <c r="D424" s="34"/>
      <c r="E424" s="35"/>
    </row>
    <row r="425" spans="1:5" x14ac:dyDescent="0.25">
      <c r="A425" s="32"/>
      <c r="B425" s="32"/>
      <c r="C425" s="33"/>
      <c r="D425" s="34"/>
      <c r="E425" s="35"/>
    </row>
    <row r="426" spans="1:5" x14ac:dyDescent="0.25">
      <c r="A426" s="32"/>
      <c r="B426" s="32"/>
      <c r="C426" s="33"/>
      <c r="D426" s="34"/>
      <c r="E426" s="35"/>
    </row>
    <row r="427" spans="1:5" x14ac:dyDescent="0.25">
      <c r="A427" s="32"/>
      <c r="B427" s="32"/>
      <c r="C427" s="33"/>
      <c r="D427" s="34"/>
      <c r="E427" s="35"/>
    </row>
    <row r="428" spans="1:5" x14ac:dyDescent="0.25">
      <c r="A428" s="32"/>
      <c r="B428" s="32"/>
      <c r="C428" s="33"/>
      <c r="D428" s="34"/>
      <c r="E428" s="35"/>
    </row>
    <row r="429" spans="1:5" x14ac:dyDescent="0.25">
      <c r="A429" s="32"/>
      <c r="B429" s="32"/>
      <c r="C429" s="33"/>
      <c r="D429" s="34"/>
      <c r="E429" s="35"/>
    </row>
    <row r="430" spans="1:5" x14ac:dyDescent="0.25">
      <c r="A430" s="32"/>
      <c r="B430" s="32"/>
      <c r="C430" s="33"/>
      <c r="D430" s="34"/>
      <c r="E430" s="35"/>
    </row>
    <row r="431" spans="1:5" x14ac:dyDescent="0.25">
      <c r="A431" s="32"/>
      <c r="B431" s="32"/>
      <c r="C431" s="33"/>
      <c r="D431" s="34"/>
      <c r="E431" s="35"/>
    </row>
    <row r="432" spans="1:5" x14ac:dyDescent="0.25">
      <c r="A432" s="32"/>
      <c r="B432" s="32"/>
      <c r="C432" s="33"/>
      <c r="D432" s="34"/>
      <c r="E432" s="35"/>
    </row>
    <row r="433" spans="1:5" x14ac:dyDescent="0.25">
      <c r="A433" s="32"/>
      <c r="B433" s="32"/>
      <c r="C433" s="33"/>
      <c r="D433" s="34"/>
      <c r="E433" s="35"/>
    </row>
    <row r="434" spans="1:5" x14ac:dyDescent="0.25">
      <c r="A434" s="32"/>
      <c r="B434" s="32"/>
      <c r="C434" s="33"/>
      <c r="D434" s="34"/>
      <c r="E434" s="35"/>
    </row>
    <row r="435" spans="1:5" x14ac:dyDescent="0.25">
      <c r="A435" s="32"/>
      <c r="B435" s="32"/>
      <c r="C435" s="33"/>
      <c r="D435" s="34"/>
      <c r="E435" s="35"/>
    </row>
    <row r="436" spans="1:5" x14ac:dyDescent="0.25">
      <c r="A436" s="32"/>
      <c r="B436" s="32"/>
      <c r="C436" s="33"/>
      <c r="D436" s="34"/>
      <c r="E436" s="35"/>
    </row>
    <row r="437" spans="1:5" x14ac:dyDescent="0.25">
      <c r="A437" s="32"/>
      <c r="B437" s="32"/>
      <c r="C437" s="33"/>
      <c r="D437" s="34"/>
      <c r="E437" s="35"/>
    </row>
    <row r="438" spans="1:5" x14ac:dyDescent="0.25">
      <c r="A438" s="32"/>
      <c r="B438" s="32"/>
      <c r="C438" s="33"/>
      <c r="D438" s="34"/>
      <c r="E438" s="35"/>
    </row>
    <row r="439" spans="1:5" x14ac:dyDescent="0.25">
      <c r="A439" s="32"/>
      <c r="B439" s="32"/>
      <c r="C439" s="33"/>
      <c r="D439" s="34"/>
      <c r="E439" s="35"/>
    </row>
    <row r="440" spans="1:5" x14ac:dyDescent="0.25">
      <c r="A440" s="32"/>
      <c r="B440" s="32"/>
      <c r="C440" s="33"/>
      <c r="D440" s="34"/>
      <c r="E440" s="35"/>
    </row>
    <row r="441" spans="1:5" x14ac:dyDescent="0.25">
      <c r="A441" s="32"/>
      <c r="B441" s="32"/>
      <c r="C441" s="33"/>
      <c r="D441" s="34"/>
      <c r="E441" s="35"/>
    </row>
    <row r="442" spans="1:5" x14ac:dyDescent="0.25">
      <c r="A442" s="32"/>
      <c r="B442" s="32"/>
      <c r="C442" s="33"/>
      <c r="D442" s="34"/>
      <c r="E442" s="35"/>
    </row>
    <row r="443" spans="1:5" x14ac:dyDescent="0.25">
      <c r="A443" s="32"/>
      <c r="B443" s="32"/>
      <c r="C443" s="33"/>
      <c r="D443" s="34"/>
      <c r="E443" s="35"/>
    </row>
    <row r="444" spans="1:5" x14ac:dyDescent="0.25">
      <c r="A444" s="32"/>
      <c r="B444" s="32"/>
      <c r="C444" s="33"/>
      <c r="D444" s="34"/>
      <c r="E444" s="35"/>
    </row>
    <row r="445" spans="1:5" x14ac:dyDescent="0.25">
      <c r="A445" s="32"/>
      <c r="B445" s="32"/>
      <c r="C445" s="33"/>
      <c r="D445" s="34"/>
      <c r="E445" s="35"/>
    </row>
    <row r="446" spans="1:5" x14ac:dyDescent="0.25">
      <c r="A446" s="32"/>
      <c r="B446" s="32"/>
      <c r="C446" s="33"/>
      <c r="D446" s="34"/>
      <c r="E446" s="35"/>
    </row>
    <row r="447" spans="1:5" x14ac:dyDescent="0.25">
      <c r="A447" s="32"/>
      <c r="B447" s="32"/>
      <c r="C447" s="33"/>
      <c r="D447" s="34"/>
      <c r="E447" s="35"/>
    </row>
    <row r="448" spans="1:5" x14ac:dyDescent="0.25">
      <c r="A448" s="32"/>
      <c r="B448" s="32"/>
      <c r="C448" s="33"/>
      <c r="D448" s="34"/>
      <c r="E448" s="35"/>
    </row>
    <row r="449" spans="1:5" x14ac:dyDescent="0.25">
      <c r="A449" s="32"/>
      <c r="B449" s="32"/>
      <c r="C449" s="33"/>
      <c r="D449" s="34"/>
      <c r="E449" s="35"/>
    </row>
    <row r="450" spans="1:5" x14ac:dyDescent="0.25">
      <c r="A450" s="32"/>
      <c r="B450" s="32"/>
      <c r="C450" s="33"/>
      <c r="D450" s="34"/>
      <c r="E450" s="35"/>
    </row>
    <row r="451" spans="1:5" x14ac:dyDescent="0.25">
      <c r="A451" s="32"/>
      <c r="B451" s="32"/>
      <c r="C451" s="33"/>
      <c r="D451" s="34"/>
      <c r="E451" s="35"/>
    </row>
    <row r="452" spans="1:5" x14ac:dyDescent="0.25">
      <c r="A452" s="32"/>
      <c r="B452" s="32"/>
      <c r="C452" s="33"/>
      <c r="D452" s="34"/>
      <c r="E452" s="35"/>
    </row>
    <row r="453" spans="1:5" x14ac:dyDescent="0.25">
      <c r="A453" s="32"/>
      <c r="B453" s="32"/>
      <c r="C453" s="33"/>
      <c r="D453" s="34"/>
      <c r="E453" s="35"/>
    </row>
    <row r="454" spans="1:5" x14ac:dyDescent="0.25">
      <c r="A454" s="32"/>
      <c r="B454" s="32"/>
      <c r="C454" s="33"/>
      <c r="D454" s="34"/>
      <c r="E454" s="35"/>
    </row>
    <row r="455" spans="1:5" x14ac:dyDescent="0.25">
      <c r="A455" s="32"/>
      <c r="B455" s="32"/>
      <c r="C455" s="33"/>
      <c r="D455" s="34"/>
      <c r="E455" s="35"/>
    </row>
    <row r="456" spans="1:5" x14ac:dyDescent="0.25">
      <c r="A456" s="32"/>
      <c r="B456" s="32"/>
      <c r="C456" s="33"/>
      <c r="D456" s="34"/>
      <c r="E456" s="35"/>
    </row>
    <row r="457" spans="1:5" x14ac:dyDescent="0.25">
      <c r="A457" s="32"/>
      <c r="B457" s="32"/>
      <c r="C457" s="33"/>
      <c r="D457" s="34"/>
      <c r="E457" s="35"/>
    </row>
    <row r="458" spans="1:5" x14ac:dyDescent="0.25">
      <c r="A458" s="32"/>
      <c r="B458" s="32"/>
      <c r="C458" s="33"/>
      <c r="D458" s="34"/>
      <c r="E458" s="35"/>
    </row>
    <row r="459" spans="1:5" x14ac:dyDescent="0.25">
      <c r="A459" s="32"/>
      <c r="B459" s="32"/>
      <c r="C459" s="33"/>
      <c r="D459" s="34"/>
      <c r="E459" s="35"/>
    </row>
    <row r="460" spans="1:5" x14ac:dyDescent="0.25">
      <c r="A460" s="32"/>
      <c r="B460" s="32"/>
      <c r="C460" s="33"/>
      <c r="D460" s="34"/>
      <c r="E460" s="35"/>
    </row>
    <row r="461" spans="1:5" x14ac:dyDescent="0.25">
      <c r="A461" s="32"/>
      <c r="B461" s="32"/>
      <c r="C461" s="33"/>
      <c r="D461" s="34"/>
      <c r="E461" s="35"/>
    </row>
    <row r="462" spans="1:5" x14ac:dyDescent="0.25">
      <c r="A462" s="32"/>
      <c r="B462" s="32"/>
      <c r="C462" s="33"/>
      <c r="D462" s="34"/>
      <c r="E462" s="35"/>
    </row>
    <row r="463" spans="1:5" x14ac:dyDescent="0.25">
      <c r="A463" s="32"/>
      <c r="B463" s="32"/>
      <c r="C463" s="33"/>
      <c r="D463" s="34"/>
      <c r="E463" s="35"/>
    </row>
    <row r="464" spans="1:5" x14ac:dyDescent="0.25">
      <c r="A464" s="32"/>
      <c r="B464" s="32"/>
      <c r="C464" s="33"/>
      <c r="D464" s="34"/>
      <c r="E464" s="35"/>
    </row>
    <row r="465" spans="1:5" x14ac:dyDescent="0.25">
      <c r="A465" s="32"/>
      <c r="B465" s="32"/>
      <c r="C465" s="33"/>
      <c r="D465" s="34"/>
      <c r="E465" s="35"/>
    </row>
    <row r="466" spans="1:5" x14ac:dyDescent="0.25">
      <c r="A466" s="32"/>
      <c r="B466" s="32"/>
      <c r="C466" s="33"/>
      <c r="D466" s="34"/>
      <c r="E466" s="35"/>
    </row>
    <row r="467" spans="1:5" x14ac:dyDescent="0.25">
      <c r="A467" s="32"/>
      <c r="B467" s="32"/>
      <c r="C467" s="33"/>
      <c r="D467" s="34"/>
      <c r="E467" s="35"/>
    </row>
    <row r="468" spans="1:5" x14ac:dyDescent="0.25">
      <c r="A468" s="32"/>
      <c r="B468" s="32"/>
      <c r="C468" s="33"/>
      <c r="D468" s="34"/>
      <c r="E468" s="35"/>
    </row>
    <row r="469" spans="1:5" x14ac:dyDescent="0.25">
      <c r="A469" s="32"/>
      <c r="B469" s="32"/>
      <c r="C469" s="33"/>
      <c r="D469" s="34"/>
      <c r="E469" s="35"/>
    </row>
    <row r="470" spans="1:5" x14ac:dyDescent="0.25">
      <c r="A470" s="32"/>
      <c r="B470" s="32"/>
      <c r="C470" s="33"/>
      <c r="D470" s="34"/>
      <c r="E470" s="35"/>
    </row>
    <row r="471" spans="1:5" x14ac:dyDescent="0.25">
      <c r="A471" s="32"/>
      <c r="B471" s="32"/>
      <c r="C471" s="33"/>
      <c r="D471" s="34"/>
      <c r="E471" s="35"/>
    </row>
    <row r="472" spans="1:5" x14ac:dyDescent="0.25">
      <c r="A472" s="32"/>
      <c r="B472" s="32"/>
      <c r="C472" s="33"/>
      <c r="D472" s="34"/>
      <c r="E472" s="35"/>
    </row>
    <row r="473" spans="1:5" x14ac:dyDescent="0.25">
      <c r="A473" s="32"/>
      <c r="B473" s="32"/>
      <c r="C473" s="33"/>
      <c r="D473" s="34"/>
      <c r="E473" s="35"/>
    </row>
    <row r="474" spans="1:5" x14ac:dyDescent="0.25">
      <c r="A474" s="32"/>
      <c r="B474" s="32"/>
      <c r="C474" s="33"/>
      <c r="D474" s="34"/>
      <c r="E474" s="35"/>
    </row>
    <row r="475" spans="1:5" x14ac:dyDescent="0.25">
      <c r="A475" s="32"/>
      <c r="B475" s="32"/>
      <c r="C475" s="33"/>
      <c r="D475" s="34"/>
      <c r="E475" s="35"/>
    </row>
    <row r="476" spans="1:5" x14ac:dyDescent="0.25">
      <c r="A476" s="32"/>
      <c r="B476" s="32"/>
      <c r="C476" s="33"/>
      <c r="D476" s="34"/>
      <c r="E476" s="35"/>
    </row>
    <row r="477" spans="1:5" x14ac:dyDescent="0.25">
      <c r="A477" s="32"/>
      <c r="B477" s="32"/>
      <c r="C477" s="33"/>
      <c r="D477" s="34"/>
      <c r="E477" s="35"/>
    </row>
    <row r="478" spans="1:5" x14ac:dyDescent="0.25">
      <c r="A478" s="32"/>
      <c r="B478" s="32"/>
      <c r="C478" s="33"/>
      <c r="D478" s="34"/>
      <c r="E478" s="35"/>
    </row>
    <row r="479" spans="1:5" x14ac:dyDescent="0.25">
      <c r="A479" s="32"/>
      <c r="B479" s="32"/>
      <c r="C479" s="33"/>
      <c r="D479" s="34"/>
      <c r="E479" s="35"/>
    </row>
    <row r="480" spans="1:5" x14ac:dyDescent="0.25">
      <c r="A480" s="32"/>
      <c r="B480" s="32"/>
      <c r="C480" s="33"/>
      <c r="D480" s="34"/>
      <c r="E480" s="35"/>
    </row>
    <row r="481" spans="1:5" x14ac:dyDescent="0.25">
      <c r="A481" s="32"/>
      <c r="B481" s="32"/>
      <c r="C481" s="33"/>
      <c r="D481" s="34"/>
      <c r="E481" s="35"/>
    </row>
    <row r="482" spans="1:5" x14ac:dyDescent="0.25">
      <c r="A482" s="32"/>
      <c r="B482" s="32"/>
      <c r="C482" s="33"/>
      <c r="D482" s="34"/>
      <c r="E482" s="35"/>
    </row>
    <row r="483" spans="1:5" x14ac:dyDescent="0.25">
      <c r="A483" s="32"/>
      <c r="B483" s="32"/>
      <c r="C483" s="33"/>
      <c r="D483" s="34"/>
      <c r="E483" s="35"/>
    </row>
    <row r="484" spans="1:5" x14ac:dyDescent="0.25">
      <c r="A484" s="32"/>
      <c r="B484" s="32"/>
      <c r="C484" s="33"/>
      <c r="D484" s="34"/>
      <c r="E484" s="35"/>
    </row>
    <row r="485" spans="1:5" x14ac:dyDescent="0.25">
      <c r="A485" s="32"/>
      <c r="B485" s="32"/>
      <c r="C485" s="33"/>
      <c r="D485" s="34"/>
      <c r="E485" s="35"/>
    </row>
    <row r="486" spans="1:5" x14ac:dyDescent="0.25">
      <c r="A486" s="32"/>
      <c r="B486" s="32"/>
      <c r="C486" s="33"/>
      <c r="D486" s="34"/>
      <c r="E486" s="35"/>
    </row>
    <row r="487" spans="1:5" x14ac:dyDescent="0.25">
      <c r="A487" s="32"/>
      <c r="B487" s="32"/>
      <c r="C487" s="33"/>
      <c r="D487" s="34"/>
      <c r="E487" s="35"/>
    </row>
    <row r="488" spans="1:5" x14ac:dyDescent="0.25">
      <c r="A488" s="32"/>
      <c r="B488" s="32"/>
      <c r="C488" s="33"/>
      <c r="D488" s="34"/>
      <c r="E488" s="35"/>
    </row>
    <row r="489" spans="1:5" x14ac:dyDescent="0.25">
      <c r="A489" s="32"/>
      <c r="B489" s="32"/>
      <c r="C489" s="33"/>
      <c r="D489" s="34"/>
      <c r="E489" s="35"/>
    </row>
    <row r="490" spans="1:5" x14ac:dyDescent="0.25">
      <c r="A490" s="32"/>
      <c r="B490" s="32"/>
      <c r="C490" s="33"/>
      <c r="D490" s="34"/>
      <c r="E490" s="35"/>
    </row>
    <row r="491" spans="1:5" x14ac:dyDescent="0.25">
      <c r="A491" s="32"/>
      <c r="B491" s="32"/>
      <c r="C491" s="33"/>
      <c r="D491" s="34"/>
      <c r="E491" s="35"/>
    </row>
    <row r="492" spans="1:5" x14ac:dyDescent="0.25">
      <c r="A492" s="32"/>
      <c r="B492" s="32"/>
      <c r="C492" s="33"/>
      <c r="D492" s="34"/>
      <c r="E492" s="35"/>
    </row>
    <row r="493" spans="1:5" x14ac:dyDescent="0.25">
      <c r="A493" s="32"/>
      <c r="B493" s="32"/>
      <c r="C493" s="33"/>
      <c r="D493" s="34"/>
      <c r="E493" s="35"/>
    </row>
    <row r="494" spans="1:5" x14ac:dyDescent="0.25">
      <c r="A494" s="32"/>
      <c r="B494" s="32"/>
      <c r="C494" s="33"/>
      <c r="D494" s="34"/>
      <c r="E494" s="35"/>
    </row>
    <row r="495" spans="1:5" x14ac:dyDescent="0.25">
      <c r="A495" s="32"/>
      <c r="B495" s="32"/>
      <c r="C495" s="33"/>
      <c r="D495" s="34"/>
      <c r="E495" s="35"/>
    </row>
    <row r="496" spans="1:5" x14ac:dyDescent="0.25">
      <c r="A496" s="32"/>
      <c r="B496" s="32"/>
      <c r="C496" s="33"/>
      <c r="D496" s="34"/>
      <c r="E496" s="35"/>
    </row>
    <row r="497" spans="1:5" x14ac:dyDescent="0.25">
      <c r="A497" s="32"/>
      <c r="B497" s="32"/>
      <c r="C497" s="33"/>
      <c r="D497" s="34"/>
      <c r="E497" s="35"/>
    </row>
    <row r="498" spans="1:5" x14ac:dyDescent="0.25">
      <c r="A498" s="32"/>
      <c r="B498" s="32"/>
      <c r="C498" s="33"/>
      <c r="D498" s="34"/>
      <c r="E498" s="35"/>
    </row>
    <row r="499" spans="1:5" x14ac:dyDescent="0.25">
      <c r="A499" s="32"/>
      <c r="B499" s="32"/>
      <c r="C499" s="33"/>
      <c r="D499" s="34"/>
      <c r="E499" s="35"/>
    </row>
    <row r="500" spans="1:5" x14ac:dyDescent="0.25">
      <c r="A500" s="32"/>
      <c r="B500" s="32"/>
      <c r="C500" s="33"/>
      <c r="D500" s="34"/>
      <c r="E500" s="35"/>
    </row>
    <row r="501" spans="1:5" x14ac:dyDescent="0.25">
      <c r="A501" s="32"/>
      <c r="B501" s="32"/>
      <c r="C501" s="33"/>
      <c r="D501" s="34"/>
      <c r="E501" s="35"/>
    </row>
    <row r="502" spans="1:5" x14ac:dyDescent="0.25">
      <c r="A502" s="32"/>
      <c r="B502" s="32"/>
      <c r="C502" s="33"/>
      <c r="D502" s="34"/>
      <c r="E502" s="35"/>
    </row>
    <row r="503" spans="1:5" x14ac:dyDescent="0.25">
      <c r="A503" s="32"/>
      <c r="B503" s="32"/>
      <c r="C503" s="33"/>
      <c r="D503" s="34"/>
      <c r="E503" s="35"/>
    </row>
    <row r="504" spans="1:5" x14ac:dyDescent="0.25">
      <c r="A504" s="32"/>
      <c r="B504" s="32"/>
      <c r="C504" s="33"/>
      <c r="D504" s="34"/>
      <c r="E504" s="35"/>
    </row>
    <row r="505" spans="1:5" x14ac:dyDescent="0.25">
      <c r="A505" s="32"/>
      <c r="B505" s="32"/>
      <c r="C505" s="33"/>
      <c r="D505" s="34"/>
      <c r="E505" s="35"/>
    </row>
    <row r="506" spans="1:5" x14ac:dyDescent="0.25">
      <c r="A506" s="32"/>
      <c r="B506" s="32"/>
      <c r="C506" s="33"/>
      <c r="D506" s="34"/>
      <c r="E506" s="35"/>
    </row>
    <row r="507" spans="1:5" x14ac:dyDescent="0.25">
      <c r="A507" s="32"/>
      <c r="B507" s="32"/>
      <c r="C507" s="33"/>
      <c r="D507" s="34"/>
      <c r="E507" s="35"/>
    </row>
    <row r="508" spans="1:5" x14ac:dyDescent="0.25">
      <c r="A508" s="32"/>
      <c r="B508" s="32"/>
      <c r="C508" s="33"/>
      <c r="D508" s="34"/>
      <c r="E508" s="35"/>
    </row>
    <row r="509" spans="1:5" x14ac:dyDescent="0.25">
      <c r="A509" s="32"/>
      <c r="B509" s="32"/>
      <c r="C509" s="33"/>
      <c r="D509" s="34"/>
      <c r="E509" s="35"/>
    </row>
    <row r="510" spans="1:5" x14ac:dyDescent="0.25">
      <c r="A510" s="32"/>
      <c r="B510" s="32"/>
      <c r="C510" s="33"/>
      <c r="D510" s="34"/>
      <c r="E510" s="35"/>
    </row>
    <row r="511" spans="1:5" x14ac:dyDescent="0.25">
      <c r="A511" s="32"/>
      <c r="B511" s="32"/>
      <c r="C511" s="33"/>
      <c r="D511" s="34"/>
      <c r="E511" s="35"/>
    </row>
    <row r="512" spans="1:5" x14ac:dyDescent="0.25">
      <c r="A512" s="32"/>
      <c r="B512" s="32"/>
      <c r="C512" s="33"/>
      <c r="D512" s="34"/>
      <c r="E512" s="35"/>
    </row>
    <row r="513" spans="1:5" x14ac:dyDescent="0.25">
      <c r="A513" s="32"/>
      <c r="B513" s="32"/>
      <c r="C513" s="33"/>
      <c r="D513" s="34"/>
      <c r="E513" s="35"/>
    </row>
    <row r="514" spans="1:5" x14ac:dyDescent="0.25">
      <c r="A514" s="32"/>
      <c r="B514" s="32"/>
      <c r="C514" s="33"/>
      <c r="D514" s="34"/>
      <c r="E514" s="35"/>
    </row>
    <row r="515" spans="1:5" x14ac:dyDescent="0.25">
      <c r="A515" s="32"/>
      <c r="B515" s="32"/>
      <c r="C515" s="33"/>
      <c r="D515" s="34"/>
      <c r="E515" s="35"/>
    </row>
    <row r="516" spans="1:5" x14ac:dyDescent="0.25">
      <c r="A516" s="32"/>
      <c r="B516" s="32"/>
      <c r="C516" s="33"/>
      <c r="D516" s="34"/>
      <c r="E516" s="35"/>
    </row>
    <row r="517" spans="1:5" x14ac:dyDescent="0.25">
      <c r="A517" s="32"/>
      <c r="B517" s="32"/>
      <c r="C517" s="33"/>
      <c r="D517" s="34"/>
      <c r="E517" s="35"/>
    </row>
    <row r="518" spans="1:5" x14ac:dyDescent="0.25">
      <c r="A518" s="32"/>
      <c r="B518" s="32"/>
      <c r="C518" s="33"/>
      <c r="D518" s="34"/>
      <c r="E518" s="35"/>
    </row>
    <row r="519" spans="1:5" x14ac:dyDescent="0.25">
      <c r="A519" s="32"/>
      <c r="B519" s="32"/>
      <c r="C519" s="33"/>
      <c r="D519" s="34"/>
      <c r="E519" s="35"/>
    </row>
    <row r="520" spans="1:5" x14ac:dyDescent="0.25">
      <c r="A520" s="32"/>
      <c r="B520" s="32"/>
      <c r="C520" s="33"/>
      <c r="D520" s="34"/>
      <c r="E520" s="35"/>
    </row>
    <row r="521" spans="1:5" x14ac:dyDescent="0.25">
      <c r="A521" s="32"/>
      <c r="B521" s="32"/>
      <c r="C521" s="33"/>
      <c r="D521" s="34"/>
      <c r="E521" s="35"/>
    </row>
    <row r="522" spans="1:5" x14ac:dyDescent="0.25">
      <c r="A522" s="32"/>
      <c r="B522" s="32"/>
      <c r="C522" s="33"/>
      <c r="D522" s="34"/>
      <c r="E522" s="35"/>
    </row>
    <row r="523" spans="1:5" x14ac:dyDescent="0.25">
      <c r="A523" s="32"/>
      <c r="B523" s="32"/>
      <c r="C523" s="33"/>
      <c r="D523" s="34"/>
      <c r="E523" s="35"/>
    </row>
    <row r="524" spans="1:5" x14ac:dyDescent="0.25">
      <c r="A524" s="32"/>
      <c r="B524" s="32"/>
      <c r="C524" s="33"/>
      <c r="D524" s="34"/>
      <c r="E524" s="35"/>
    </row>
    <row r="525" spans="1:5" x14ac:dyDescent="0.25">
      <c r="A525" s="32"/>
      <c r="B525" s="32"/>
      <c r="C525" s="33"/>
      <c r="D525" s="34"/>
      <c r="E525" s="35"/>
    </row>
    <row r="526" spans="1:5" x14ac:dyDescent="0.25">
      <c r="A526" s="32"/>
      <c r="B526" s="32"/>
      <c r="C526" s="33"/>
      <c r="D526" s="34"/>
      <c r="E526" s="35"/>
    </row>
    <row r="527" spans="1:5" x14ac:dyDescent="0.25">
      <c r="A527" s="32"/>
      <c r="B527" s="32"/>
      <c r="C527" s="33"/>
      <c r="D527" s="34"/>
      <c r="E527" s="35"/>
    </row>
    <row r="528" spans="1:5" x14ac:dyDescent="0.25">
      <c r="A528" s="32"/>
      <c r="B528" s="32"/>
      <c r="C528" s="33"/>
      <c r="D528" s="34"/>
      <c r="E528" s="35"/>
    </row>
    <row r="529" spans="1:5" x14ac:dyDescent="0.25">
      <c r="A529" s="32"/>
      <c r="B529" s="32"/>
      <c r="C529" s="33"/>
      <c r="D529" s="34"/>
      <c r="E529" s="35"/>
    </row>
    <row r="530" spans="1:5" x14ac:dyDescent="0.25">
      <c r="A530" s="32"/>
      <c r="B530" s="32"/>
      <c r="C530" s="33"/>
      <c r="D530" s="34"/>
      <c r="E530" s="35"/>
    </row>
    <row r="531" spans="1:5" x14ac:dyDescent="0.25">
      <c r="A531" s="32"/>
      <c r="B531" s="32"/>
      <c r="C531" s="33"/>
      <c r="D531" s="34"/>
      <c r="E531" s="35"/>
    </row>
    <row r="532" spans="1:5" x14ac:dyDescent="0.25">
      <c r="A532" s="32"/>
      <c r="B532" s="32"/>
      <c r="C532" s="33"/>
      <c r="D532" s="34"/>
      <c r="E532" s="35"/>
    </row>
    <row r="533" spans="1:5" x14ac:dyDescent="0.25">
      <c r="A533" s="32"/>
      <c r="B533" s="32"/>
      <c r="C533" s="33"/>
      <c r="D533" s="34"/>
      <c r="E533" s="35"/>
    </row>
    <row r="534" spans="1:5" x14ac:dyDescent="0.25">
      <c r="A534" s="32"/>
      <c r="B534" s="32"/>
      <c r="C534" s="33"/>
      <c r="D534" s="34"/>
      <c r="E534" s="35"/>
    </row>
    <row r="535" spans="1:5" x14ac:dyDescent="0.25">
      <c r="A535" s="32"/>
      <c r="B535" s="32"/>
      <c r="C535" s="33"/>
      <c r="D535" s="34"/>
      <c r="E535" s="35"/>
    </row>
    <row r="536" spans="1:5" x14ac:dyDescent="0.25">
      <c r="A536" s="32"/>
      <c r="B536" s="32"/>
      <c r="C536" s="33"/>
      <c r="D536" s="34"/>
      <c r="E536" s="35"/>
    </row>
    <row r="537" spans="1:5" x14ac:dyDescent="0.25">
      <c r="A537" s="32"/>
      <c r="B537" s="32"/>
      <c r="C537" s="33"/>
      <c r="D537" s="34"/>
      <c r="E537" s="35"/>
    </row>
    <row r="538" spans="1:5" x14ac:dyDescent="0.25">
      <c r="A538" s="32"/>
      <c r="B538" s="32"/>
      <c r="C538" s="33"/>
      <c r="D538" s="34"/>
      <c r="E538" s="35"/>
    </row>
    <row r="539" spans="1:5" x14ac:dyDescent="0.25">
      <c r="A539" s="32"/>
      <c r="B539" s="32"/>
      <c r="C539" s="33"/>
      <c r="D539" s="34"/>
      <c r="E539" s="35"/>
    </row>
    <row r="540" spans="1:5" x14ac:dyDescent="0.25">
      <c r="A540" s="32"/>
      <c r="B540" s="32"/>
      <c r="C540" s="33"/>
      <c r="D540" s="34"/>
      <c r="E540" s="35"/>
    </row>
    <row r="541" spans="1:5" x14ac:dyDescent="0.25">
      <c r="A541" s="32"/>
      <c r="B541" s="32"/>
      <c r="C541" s="33"/>
      <c r="D541" s="34"/>
      <c r="E541" s="35"/>
    </row>
    <row r="542" spans="1:5" x14ac:dyDescent="0.25">
      <c r="A542" s="32"/>
      <c r="B542" s="32"/>
      <c r="C542" s="33"/>
      <c r="D542" s="34"/>
      <c r="E542" s="35"/>
    </row>
    <row r="543" spans="1:5" x14ac:dyDescent="0.25">
      <c r="A543" s="32"/>
      <c r="B543" s="32"/>
      <c r="C543" s="33"/>
      <c r="D543" s="34"/>
      <c r="E543" s="35"/>
    </row>
    <row r="544" spans="1:5" x14ac:dyDescent="0.25">
      <c r="A544" s="32"/>
      <c r="B544" s="32"/>
      <c r="C544" s="33"/>
      <c r="D544" s="34"/>
      <c r="E544" s="35"/>
    </row>
    <row r="545" spans="1:5" x14ac:dyDescent="0.25">
      <c r="A545" s="32"/>
      <c r="B545" s="32"/>
      <c r="C545" s="33"/>
      <c r="D545" s="34"/>
      <c r="E545" s="35"/>
    </row>
    <row r="546" spans="1:5" x14ac:dyDescent="0.25">
      <c r="A546" s="32"/>
      <c r="B546" s="32"/>
      <c r="C546" s="33"/>
      <c r="D546" s="34"/>
      <c r="E546" s="35"/>
    </row>
    <row r="547" spans="1:5" x14ac:dyDescent="0.25">
      <c r="A547" s="32"/>
      <c r="B547" s="32"/>
      <c r="C547" s="33"/>
      <c r="D547" s="34"/>
      <c r="E547" s="35"/>
    </row>
    <row r="548" spans="1:5" x14ac:dyDescent="0.25">
      <c r="A548" s="32"/>
      <c r="B548" s="32"/>
      <c r="C548" s="33"/>
      <c r="D548" s="34"/>
      <c r="E548" s="35"/>
    </row>
    <row r="549" spans="1:5" x14ac:dyDescent="0.25">
      <c r="A549" s="32"/>
      <c r="B549" s="32"/>
      <c r="C549" s="33"/>
      <c r="D549" s="34"/>
      <c r="E549" s="35"/>
    </row>
    <row r="550" spans="1:5" x14ac:dyDescent="0.25">
      <c r="A550" s="32"/>
      <c r="B550" s="32"/>
      <c r="C550" s="33"/>
      <c r="D550" s="34"/>
      <c r="E550" s="35"/>
    </row>
    <row r="551" spans="1:5" x14ac:dyDescent="0.25">
      <c r="A551" s="32"/>
      <c r="B551" s="32"/>
      <c r="C551" s="33"/>
      <c r="D551" s="34"/>
      <c r="E551" s="35"/>
    </row>
    <row r="552" spans="1:5" x14ac:dyDescent="0.25">
      <c r="A552" s="32"/>
      <c r="B552" s="32"/>
      <c r="C552" s="33"/>
      <c r="D552" s="34"/>
      <c r="E552" s="35"/>
    </row>
    <row r="553" spans="1:5" x14ac:dyDescent="0.25">
      <c r="A553" s="32"/>
      <c r="B553" s="32"/>
      <c r="C553" s="33"/>
      <c r="D553" s="34"/>
      <c r="E553" s="35"/>
    </row>
    <row r="554" spans="1:5" x14ac:dyDescent="0.25">
      <c r="A554" s="32"/>
      <c r="B554" s="32"/>
      <c r="C554" s="33"/>
      <c r="D554" s="34"/>
      <c r="E554" s="35"/>
    </row>
    <row r="555" spans="1:5" x14ac:dyDescent="0.25">
      <c r="A555" s="32"/>
      <c r="B555" s="32"/>
      <c r="C555" s="33"/>
      <c r="D555" s="34"/>
      <c r="E555" s="35"/>
    </row>
    <row r="556" spans="1:5" x14ac:dyDescent="0.25">
      <c r="A556" s="32"/>
      <c r="B556" s="32"/>
      <c r="C556" s="33"/>
      <c r="D556" s="34"/>
      <c r="E556" s="35"/>
    </row>
    <row r="557" spans="1:5" x14ac:dyDescent="0.25">
      <c r="A557" s="32"/>
      <c r="B557" s="32"/>
      <c r="C557" s="33"/>
      <c r="D557" s="34"/>
      <c r="E557" s="35"/>
    </row>
    <row r="558" spans="1:5" x14ac:dyDescent="0.25">
      <c r="A558" s="32"/>
      <c r="B558" s="32"/>
      <c r="C558" s="33"/>
      <c r="D558" s="34"/>
      <c r="E558" s="35"/>
    </row>
    <row r="559" spans="1:5" x14ac:dyDescent="0.25">
      <c r="A559" s="32"/>
      <c r="B559" s="32"/>
      <c r="C559" s="33"/>
      <c r="D559" s="34"/>
      <c r="E559" s="35"/>
    </row>
    <row r="560" spans="1:5" x14ac:dyDescent="0.25">
      <c r="A560" s="32"/>
      <c r="B560" s="32"/>
      <c r="C560" s="33"/>
      <c r="D560" s="34"/>
      <c r="E560" s="35"/>
    </row>
    <row r="561" spans="1:5" x14ac:dyDescent="0.25">
      <c r="A561" s="32"/>
      <c r="B561" s="32"/>
      <c r="C561" s="33"/>
      <c r="D561" s="34"/>
      <c r="E561" s="35"/>
    </row>
    <row r="562" spans="1:5" x14ac:dyDescent="0.25">
      <c r="A562" s="32"/>
      <c r="B562" s="32"/>
      <c r="C562" s="33"/>
      <c r="D562" s="34"/>
      <c r="E562" s="35"/>
    </row>
    <row r="563" spans="1:5" x14ac:dyDescent="0.25">
      <c r="A563" s="32"/>
      <c r="B563" s="32"/>
      <c r="C563" s="33"/>
      <c r="D563" s="34"/>
      <c r="E563" s="35"/>
    </row>
    <row r="564" spans="1:5" x14ac:dyDescent="0.25">
      <c r="A564" s="32"/>
      <c r="B564" s="32"/>
      <c r="C564" s="33"/>
      <c r="D564" s="34"/>
      <c r="E564" s="35"/>
    </row>
    <row r="565" spans="1:5" x14ac:dyDescent="0.25">
      <c r="A565" s="32"/>
      <c r="B565" s="32"/>
      <c r="C565" s="33"/>
      <c r="D565" s="34"/>
      <c r="E565" s="35"/>
    </row>
    <row r="566" spans="1:5" x14ac:dyDescent="0.25">
      <c r="A566" s="32"/>
      <c r="B566" s="32"/>
      <c r="C566" s="33"/>
      <c r="D566" s="34"/>
      <c r="E566" s="35"/>
    </row>
    <row r="567" spans="1:5" x14ac:dyDescent="0.25">
      <c r="A567" s="32"/>
      <c r="B567" s="32"/>
      <c r="C567" s="33"/>
      <c r="D567" s="34"/>
      <c r="E567" s="35"/>
    </row>
    <row r="568" spans="1:5" x14ac:dyDescent="0.25">
      <c r="A568" s="32"/>
      <c r="B568" s="32"/>
      <c r="C568" s="33"/>
      <c r="D568" s="34"/>
      <c r="E568" s="35"/>
    </row>
    <row r="569" spans="1:5" x14ac:dyDescent="0.25">
      <c r="A569" s="32"/>
      <c r="B569" s="32"/>
      <c r="C569" s="33"/>
      <c r="D569" s="34"/>
      <c r="E569" s="35"/>
    </row>
    <row r="570" spans="1:5" x14ac:dyDescent="0.25">
      <c r="A570" s="32"/>
      <c r="B570" s="32"/>
      <c r="C570" s="33"/>
      <c r="D570" s="34"/>
      <c r="E570" s="35"/>
    </row>
    <row r="571" spans="1:5" x14ac:dyDescent="0.25">
      <c r="A571" s="32"/>
      <c r="B571" s="32"/>
      <c r="C571" s="33"/>
      <c r="D571" s="34"/>
      <c r="E571" s="35"/>
    </row>
    <row r="572" spans="1:5" x14ac:dyDescent="0.25">
      <c r="A572" s="32"/>
      <c r="B572" s="32"/>
      <c r="C572" s="33"/>
      <c r="D572" s="34"/>
      <c r="E572" s="35"/>
    </row>
    <row r="573" spans="1:5" x14ac:dyDescent="0.25">
      <c r="A573" s="32"/>
      <c r="B573" s="32"/>
      <c r="C573" s="33"/>
      <c r="D573" s="34"/>
      <c r="E573" s="35"/>
    </row>
    <row r="574" spans="1:5" x14ac:dyDescent="0.25">
      <c r="A574" s="32"/>
      <c r="B574" s="32"/>
      <c r="C574" s="33"/>
      <c r="D574" s="34"/>
      <c r="E574" s="35"/>
    </row>
    <row r="575" spans="1:5" x14ac:dyDescent="0.25">
      <c r="A575" s="32"/>
      <c r="B575" s="32"/>
      <c r="C575" s="33"/>
      <c r="D575" s="34"/>
      <c r="E575" s="35"/>
    </row>
    <row r="576" spans="1:5" x14ac:dyDescent="0.25">
      <c r="A576" s="32"/>
      <c r="B576" s="32"/>
      <c r="C576" s="33"/>
      <c r="D576" s="34"/>
      <c r="E576" s="35"/>
    </row>
    <row r="577" spans="1:5" x14ac:dyDescent="0.25">
      <c r="A577" s="32"/>
      <c r="B577" s="32"/>
      <c r="C577" s="33"/>
      <c r="D577" s="34"/>
      <c r="E577" s="35"/>
    </row>
    <row r="578" spans="1:5" x14ac:dyDescent="0.25">
      <c r="A578" s="32"/>
      <c r="B578" s="32"/>
      <c r="C578" s="33"/>
      <c r="D578" s="34"/>
      <c r="E578" s="35"/>
    </row>
    <row r="579" spans="1:5" x14ac:dyDescent="0.25">
      <c r="A579" s="32"/>
      <c r="B579" s="32"/>
      <c r="C579" s="33"/>
      <c r="D579" s="34"/>
      <c r="E579" s="35"/>
    </row>
    <row r="580" spans="1:5" x14ac:dyDescent="0.25">
      <c r="A580" s="32"/>
      <c r="B580" s="32"/>
      <c r="C580" s="33"/>
      <c r="D580" s="34"/>
      <c r="E580" s="35"/>
    </row>
    <row r="581" spans="1:5" x14ac:dyDescent="0.25">
      <c r="A581" s="32"/>
      <c r="B581" s="32"/>
      <c r="C581" s="33"/>
      <c r="D581" s="34"/>
      <c r="E581" s="35"/>
    </row>
    <row r="582" spans="1:5" x14ac:dyDescent="0.25">
      <c r="A582" s="32"/>
      <c r="B582" s="32"/>
      <c r="C582" s="33"/>
      <c r="D582" s="34"/>
      <c r="E582" s="35"/>
    </row>
    <row r="583" spans="1:5" x14ac:dyDescent="0.25">
      <c r="A583" s="32"/>
      <c r="B583" s="32"/>
      <c r="C583" s="33"/>
      <c r="D583" s="34"/>
      <c r="E583" s="35"/>
    </row>
    <row r="584" spans="1:5" x14ac:dyDescent="0.25">
      <c r="A584" s="32"/>
      <c r="B584" s="32"/>
      <c r="C584" s="33"/>
      <c r="D584" s="34"/>
      <c r="E584" s="35"/>
    </row>
    <row r="585" spans="1:5" x14ac:dyDescent="0.25">
      <c r="A585" s="32"/>
      <c r="B585" s="32"/>
      <c r="C585" s="33"/>
      <c r="D585" s="34"/>
      <c r="E585" s="35"/>
    </row>
    <row r="586" spans="1:5" x14ac:dyDescent="0.25">
      <c r="A586" s="32"/>
      <c r="B586" s="32"/>
      <c r="C586" s="33"/>
      <c r="D586" s="34"/>
      <c r="E586" s="35"/>
    </row>
    <row r="587" spans="1:5" x14ac:dyDescent="0.25">
      <c r="A587" s="32"/>
      <c r="B587" s="32"/>
      <c r="C587" s="33"/>
      <c r="D587" s="34"/>
      <c r="E587" s="35"/>
    </row>
    <row r="588" spans="1:5" x14ac:dyDescent="0.25">
      <c r="A588" s="32"/>
      <c r="B588" s="32"/>
      <c r="C588" s="33"/>
      <c r="D588" s="34"/>
      <c r="E588" s="35"/>
    </row>
    <row r="589" spans="1:5" x14ac:dyDescent="0.25">
      <c r="A589" s="32"/>
      <c r="B589" s="32"/>
      <c r="C589" s="33"/>
      <c r="D589" s="34"/>
      <c r="E589" s="35"/>
    </row>
    <row r="590" spans="1:5" x14ac:dyDescent="0.25">
      <c r="A590" s="32"/>
      <c r="B590" s="32"/>
      <c r="C590" s="33"/>
      <c r="D590" s="34"/>
      <c r="E590" s="35"/>
    </row>
    <row r="591" spans="1:5" x14ac:dyDescent="0.25">
      <c r="A591" s="32"/>
      <c r="B591" s="32"/>
      <c r="C591" s="33"/>
      <c r="D591" s="34"/>
      <c r="E591" s="35"/>
    </row>
    <row r="592" spans="1:5" x14ac:dyDescent="0.25">
      <c r="A592" s="32"/>
      <c r="B592" s="32"/>
      <c r="C592" s="33"/>
      <c r="D592" s="34"/>
      <c r="E592" s="35"/>
    </row>
    <row r="593" spans="1:5" x14ac:dyDescent="0.25">
      <c r="A593" s="32"/>
      <c r="B593" s="32"/>
      <c r="C593" s="33"/>
      <c r="D593" s="34"/>
      <c r="E593" s="35"/>
    </row>
    <row r="594" spans="1:5" x14ac:dyDescent="0.25">
      <c r="A594" s="32"/>
      <c r="B594" s="32"/>
      <c r="C594" s="33"/>
      <c r="D594" s="34"/>
      <c r="E594" s="35"/>
    </row>
    <row r="595" spans="1:5" x14ac:dyDescent="0.25">
      <c r="A595" s="32"/>
      <c r="B595" s="32"/>
      <c r="C595" s="33"/>
      <c r="D595" s="34"/>
      <c r="E595" s="35"/>
    </row>
    <row r="596" spans="1:5" x14ac:dyDescent="0.25">
      <c r="A596" s="32"/>
      <c r="B596" s="32"/>
      <c r="C596" s="33"/>
      <c r="D596" s="34"/>
      <c r="E596" s="35"/>
    </row>
    <row r="597" spans="1:5" x14ac:dyDescent="0.25">
      <c r="A597" s="32"/>
      <c r="B597" s="32"/>
      <c r="C597" s="33"/>
      <c r="D597" s="34"/>
      <c r="E597" s="35"/>
    </row>
    <row r="598" spans="1:5" x14ac:dyDescent="0.25">
      <c r="A598" s="32"/>
      <c r="B598" s="32"/>
      <c r="C598" s="33"/>
      <c r="D598" s="34"/>
      <c r="E598" s="35"/>
    </row>
    <row r="599" spans="1:5" x14ac:dyDescent="0.25">
      <c r="A599" s="32"/>
      <c r="B599" s="32"/>
      <c r="C599" s="33"/>
      <c r="D599" s="34"/>
      <c r="E599" s="35"/>
    </row>
    <row r="600" spans="1:5" x14ac:dyDescent="0.25">
      <c r="A600" s="32"/>
      <c r="B600" s="32"/>
      <c r="C600" s="33"/>
      <c r="D600" s="34"/>
      <c r="E600" s="35"/>
    </row>
    <row r="601" spans="1:5" x14ac:dyDescent="0.25">
      <c r="A601" s="32"/>
      <c r="B601" s="32"/>
      <c r="C601" s="33"/>
      <c r="D601" s="34"/>
      <c r="E601" s="35"/>
    </row>
    <row r="602" spans="1:5" x14ac:dyDescent="0.25">
      <c r="A602" s="32"/>
      <c r="B602" s="32"/>
      <c r="C602" s="33"/>
      <c r="D602" s="34"/>
      <c r="E602" s="35"/>
    </row>
    <row r="603" spans="1:5" x14ac:dyDescent="0.25">
      <c r="A603" s="32"/>
      <c r="B603" s="32"/>
      <c r="C603" s="33"/>
      <c r="D603" s="34"/>
      <c r="E603" s="35"/>
    </row>
    <row r="604" spans="1:5" x14ac:dyDescent="0.25">
      <c r="A604" s="32"/>
      <c r="B604" s="32"/>
      <c r="C604" s="33"/>
      <c r="D604" s="34"/>
      <c r="E604" s="35"/>
    </row>
    <row r="605" spans="1:5" x14ac:dyDescent="0.25">
      <c r="A605" s="32"/>
      <c r="B605" s="32"/>
      <c r="C605" s="33"/>
      <c r="D605" s="34"/>
      <c r="E605" s="35"/>
    </row>
    <row r="606" spans="1:5" x14ac:dyDescent="0.25">
      <c r="A606" s="32"/>
      <c r="B606" s="32"/>
      <c r="C606" s="33"/>
      <c r="D606" s="34"/>
      <c r="E606" s="35"/>
    </row>
    <row r="607" spans="1:5" x14ac:dyDescent="0.25">
      <c r="A607" s="32"/>
      <c r="B607" s="32"/>
      <c r="C607" s="33"/>
      <c r="D607" s="34"/>
      <c r="E607" s="35"/>
    </row>
    <row r="608" spans="1:5" x14ac:dyDescent="0.25">
      <c r="A608" s="32"/>
      <c r="B608" s="32"/>
      <c r="C608" s="33"/>
      <c r="D608" s="34"/>
      <c r="E608" s="35"/>
    </row>
    <row r="609" spans="1:5" x14ac:dyDescent="0.25">
      <c r="A609" s="32"/>
      <c r="B609" s="32"/>
      <c r="C609" s="33"/>
      <c r="D609" s="34"/>
      <c r="E609" s="35"/>
    </row>
    <row r="610" spans="1:5" x14ac:dyDescent="0.25">
      <c r="A610" s="32"/>
      <c r="B610" s="32"/>
      <c r="C610" s="33"/>
      <c r="D610" s="34"/>
      <c r="E610" s="35"/>
    </row>
    <row r="611" spans="1:5" x14ac:dyDescent="0.25">
      <c r="A611" s="32"/>
      <c r="B611" s="32"/>
      <c r="C611" s="33"/>
      <c r="D611" s="34"/>
      <c r="E611" s="35"/>
    </row>
    <row r="612" spans="1:5" x14ac:dyDescent="0.25">
      <c r="A612" s="32"/>
      <c r="B612" s="32"/>
      <c r="C612" s="33"/>
      <c r="D612" s="34"/>
      <c r="E612" s="35"/>
    </row>
    <row r="613" spans="1:5" x14ac:dyDescent="0.25">
      <c r="A613" s="32"/>
      <c r="B613" s="32"/>
      <c r="C613" s="33"/>
      <c r="D613" s="34"/>
      <c r="E613" s="35"/>
    </row>
    <row r="614" spans="1:5" x14ac:dyDescent="0.25">
      <c r="A614" s="32"/>
      <c r="B614" s="32"/>
      <c r="C614" s="33"/>
      <c r="D614" s="34"/>
      <c r="E614" s="35"/>
    </row>
    <row r="615" spans="1:5" x14ac:dyDescent="0.25">
      <c r="A615" s="32"/>
      <c r="B615" s="32"/>
      <c r="C615" s="33"/>
      <c r="D615" s="34"/>
      <c r="E615" s="35"/>
    </row>
    <row r="616" spans="1:5" x14ac:dyDescent="0.25">
      <c r="A616" s="32"/>
      <c r="B616" s="32"/>
      <c r="C616" s="33"/>
      <c r="D616" s="34"/>
      <c r="E616" s="35"/>
    </row>
    <row r="617" spans="1:5" x14ac:dyDescent="0.25">
      <c r="A617" s="32"/>
      <c r="B617" s="32"/>
      <c r="C617" s="33"/>
      <c r="D617" s="34"/>
      <c r="E617" s="35"/>
    </row>
    <row r="618" spans="1:5" x14ac:dyDescent="0.25">
      <c r="A618" s="32"/>
      <c r="B618" s="32"/>
      <c r="C618" s="33"/>
      <c r="D618" s="34"/>
      <c r="E618" s="35"/>
    </row>
    <row r="619" spans="1:5" x14ac:dyDescent="0.25">
      <c r="A619" s="32"/>
      <c r="B619" s="32"/>
      <c r="C619" s="33"/>
      <c r="D619" s="34"/>
      <c r="E619" s="35"/>
    </row>
    <row r="620" spans="1:5" x14ac:dyDescent="0.25">
      <c r="A620" s="32"/>
      <c r="B620" s="32"/>
      <c r="C620" s="33"/>
      <c r="D620" s="34"/>
      <c r="E620" s="35"/>
    </row>
    <row r="621" spans="1:5" x14ac:dyDescent="0.25">
      <c r="A621" s="32"/>
      <c r="B621" s="32"/>
      <c r="C621" s="33"/>
      <c r="D621" s="34"/>
      <c r="E621" s="35"/>
    </row>
    <row r="622" spans="1:5" x14ac:dyDescent="0.25">
      <c r="A622" s="32"/>
      <c r="B622" s="32"/>
      <c r="C622" s="33"/>
      <c r="D622" s="34"/>
      <c r="E622" s="35"/>
    </row>
    <row r="623" spans="1:5" x14ac:dyDescent="0.25">
      <c r="A623" s="32"/>
      <c r="B623" s="32"/>
      <c r="C623" s="33"/>
      <c r="D623" s="34"/>
      <c r="E623" s="35"/>
    </row>
    <row r="624" spans="1:5" x14ac:dyDescent="0.25">
      <c r="A624" s="32"/>
      <c r="B624" s="32"/>
      <c r="C624" s="33"/>
      <c r="D624" s="34"/>
      <c r="E624" s="35"/>
    </row>
    <row r="625" spans="1:5" x14ac:dyDescent="0.25">
      <c r="A625" s="32"/>
      <c r="B625" s="32"/>
      <c r="C625" s="33"/>
      <c r="D625" s="34"/>
      <c r="E625" s="35"/>
    </row>
    <row r="626" spans="1:5" x14ac:dyDescent="0.25">
      <c r="A626" s="32"/>
      <c r="B626" s="32"/>
      <c r="C626" s="33"/>
      <c r="D626" s="34"/>
      <c r="E626" s="35"/>
    </row>
    <row r="627" spans="1:5" x14ac:dyDescent="0.25">
      <c r="A627" s="32"/>
      <c r="B627" s="32"/>
      <c r="C627" s="33"/>
      <c r="D627" s="34"/>
      <c r="E627" s="35"/>
    </row>
    <row r="628" spans="1:5" x14ac:dyDescent="0.25">
      <c r="A628" s="32"/>
      <c r="B628" s="32"/>
      <c r="C628" s="33"/>
      <c r="D628" s="34"/>
      <c r="E628" s="35"/>
    </row>
    <row r="629" spans="1:5" x14ac:dyDescent="0.25">
      <c r="A629" s="32"/>
      <c r="B629" s="32"/>
      <c r="C629" s="33"/>
      <c r="D629" s="34"/>
      <c r="E629" s="35"/>
    </row>
    <row r="630" spans="1:5" x14ac:dyDescent="0.25">
      <c r="A630" s="32"/>
      <c r="B630" s="32"/>
      <c r="C630" s="33"/>
      <c r="D630" s="34"/>
      <c r="E630" s="35"/>
    </row>
    <row r="631" spans="1:5" x14ac:dyDescent="0.25">
      <c r="A631" s="32"/>
      <c r="B631" s="32"/>
      <c r="C631" s="33"/>
      <c r="D631" s="34"/>
      <c r="E631" s="35"/>
    </row>
    <row r="632" spans="1:5" x14ac:dyDescent="0.25">
      <c r="A632" s="32"/>
      <c r="B632" s="32"/>
      <c r="C632" s="33"/>
      <c r="D632" s="34"/>
      <c r="E632" s="35"/>
    </row>
    <row r="633" spans="1:5" x14ac:dyDescent="0.25">
      <c r="A633" s="32"/>
      <c r="B633" s="32"/>
      <c r="C633" s="33"/>
      <c r="D633" s="34"/>
      <c r="E633" s="35"/>
    </row>
    <row r="634" spans="1:5" x14ac:dyDescent="0.25">
      <c r="A634" s="32"/>
      <c r="B634" s="32"/>
      <c r="C634" s="33"/>
      <c r="D634" s="34"/>
      <c r="E634" s="35"/>
    </row>
    <row r="635" spans="1:5" x14ac:dyDescent="0.25">
      <c r="A635" s="32"/>
      <c r="B635" s="32"/>
      <c r="C635" s="33"/>
      <c r="D635" s="34"/>
      <c r="E635" s="35"/>
    </row>
    <row r="636" spans="1:5" x14ac:dyDescent="0.25">
      <c r="A636" s="32"/>
      <c r="B636" s="32"/>
      <c r="C636" s="33"/>
      <c r="D636" s="34"/>
      <c r="E636" s="35"/>
    </row>
    <row r="637" spans="1:5" x14ac:dyDescent="0.25">
      <c r="A637" s="32"/>
      <c r="B637" s="32"/>
      <c r="C637" s="33"/>
      <c r="D637" s="34"/>
      <c r="E637" s="35"/>
    </row>
    <row r="638" spans="1:5" x14ac:dyDescent="0.25">
      <c r="A638" s="32"/>
      <c r="B638" s="32"/>
      <c r="C638" s="33"/>
      <c r="D638" s="34"/>
      <c r="E638" s="35"/>
    </row>
    <row r="639" spans="1:5" x14ac:dyDescent="0.25">
      <c r="A639" s="32"/>
      <c r="B639" s="32"/>
      <c r="C639" s="33"/>
      <c r="D639" s="34"/>
      <c r="E639" s="35"/>
    </row>
    <row r="640" spans="1:5" x14ac:dyDescent="0.25">
      <c r="A640" s="32"/>
      <c r="B640" s="32"/>
      <c r="C640" s="33"/>
      <c r="D640" s="34"/>
      <c r="E640" s="35"/>
    </row>
    <row r="641" spans="1:5" x14ac:dyDescent="0.25">
      <c r="A641" s="32"/>
      <c r="B641" s="32"/>
      <c r="C641" s="33"/>
      <c r="D641" s="34"/>
      <c r="E641" s="35"/>
    </row>
    <row r="642" spans="1:5" x14ac:dyDescent="0.25">
      <c r="A642" s="32"/>
      <c r="B642" s="32"/>
      <c r="C642" s="33"/>
      <c r="D642" s="34"/>
      <c r="E642" s="35"/>
    </row>
    <row r="643" spans="1:5" x14ac:dyDescent="0.25">
      <c r="A643" s="32"/>
      <c r="B643" s="32"/>
      <c r="C643" s="33"/>
      <c r="D643" s="34"/>
      <c r="E643" s="35"/>
    </row>
    <row r="644" spans="1:5" x14ac:dyDescent="0.25">
      <c r="A644" s="32"/>
      <c r="B644" s="32"/>
      <c r="C644" s="33"/>
      <c r="D644" s="34"/>
      <c r="E644" s="35"/>
    </row>
    <row r="645" spans="1:5" x14ac:dyDescent="0.25">
      <c r="A645" s="32"/>
      <c r="B645" s="32"/>
      <c r="C645" s="33"/>
      <c r="D645" s="34"/>
      <c r="E645" s="35"/>
    </row>
    <row r="646" spans="1:5" x14ac:dyDescent="0.25">
      <c r="A646" s="32"/>
      <c r="B646" s="32"/>
      <c r="C646" s="33"/>
      <c r="D646" s="34"/>
      <c r="E646" s="35"/>
    </row>
    <row r="647" spans="1:5" x14ac:dyDescent="0.25">
      <c r="A647" s="32"/>
      <c r="B647" s="32"/>
      <c r="C647" s="33"/>
      <c r="D647" s="34"/>
      <c r="E647" s="35"/>
    </row>
    <row r="648" spans="1:5" x14ac:dyDescent="0.25">
      <c r="A648" s="32"/>
      <c r="B648" s="32"/>
      <c r="C648" s="33"/>
      <c r="D648" s="34"/>
      <c r="E648" s="35"/>
    </row>
    <row r="649" spans="1:5" x14ac:dyDescent="0.25">
      <c r="A649" s="32"/>
      <c r="B649" s="32"/>
      <c r="C649" s="33"/>
      <c r="D649" s="34"/>
      <c r="E649" s="35"/>
    </row>
    <row r="650" spans="1:5" x14ac:dyDescent="0.25">
      <c r="A650" s="32"/>
      <c r="B650" s="32"/>
      <c r="C650" s="33"/>
      <c r="D650" s="34"/>
      <c r="E650" s="35"/>
    </row>
    <row r="651" spans="1:5" x14ac:dyDescent="0.25">
      <c r="A651" s="32"/>
      <c r="B651" s="32"/>
      <c r="C651" s="33"/>
      <c r="D651" s="34"/>
      <c r="E651" s="35"/>
    </row>
    <row r="652" spans="1:5" x14ac:dyDescent="0.25">
      <c r="A652" s="32"/>
      <c r="B652" s="32"/>
      <c r="C652" s="33"/>
      <c r="D652" s="34"/>
      <c r="E652" s="35"/>
    </row>
    <row r="653" spans="1:5" x14ac:dyDescent="0.25">
      <c r="A653" s="32"/>
      <c r="B653" s="32"/>
      <c r="C653" s="33"/>
      <c r="D653" s="34"/>
      <c r="E653" s="35"/>
    </row>
    <row r="654" spans="1:5" x14ac:dyDescent="0.25">
      <c r="A654" s="32"/>
      <c r="B654" s="32"/>
      <c r="C654" s="33"/>
      <c r="D654" s="34"/>
      <c r="E654" s="35"/>
    </row>
    <row r="655" spans="1:5" x14ac:dyDescent="0.25">
      <c r="A655" s="32"/>
      <c r="B655" s="32"/>
      <c r="C655" s="33"/>
      <c r="D655" s="34"/>
      <c r="E655" s="35"/>
    </row>
    <row r="656" spans="1:5" x14ac:dyDescent="0.25">
      <c r="A656" s="32"/>
      <c r="B656" s="32"/>
      <c r="C656" s="33"/>
      <c r="D656" s="34"/>
      <c r="E656" s="35"/>
    </row>
    <row r="657" spans="1:5" x14ac:dyDescent="0.25">
      <c r="A657" s="32"/>
      <c r="B657" s="32"/>
      <c r="C657" s="33"/>
      <c r="D657" s="34"/>
      <c r="E657" s="35"/>
    </row>
    <row r="658" spans="1:5" x14ac:dyDescent="0.25">
      <c r="A658" s="32"/>
      <c r="B658" s="32"/>
      <c r="C658" s="33"/>
      <c r="D658" s="34"/>
      <c r="E658" s="35"/>
    </row>
    <row r="659" spans="1:5" x14ac:dyDescent="0.25">
      <c r="A659" s="32"/>
      <c r="B659" s="32"/>
      <c r="C659" s="33"/>
      <c r="D659" s="34"/>
      <c r="E659" s="35"/>
    </row>
    <row r="660" spans="1:5" x14ac:dyDescent="0.25">
      <c r="A660" s="32"/>
      <c r="B660" s="32"/>
      <c r="C660" s="33"/>
      <c r="D660" s="34"/>
      <c r="E660" s="35"/>
    </row>
    <row r="661" spans="1:5" x14ac:dyDescent="0.25">
      <c r="A661" s="32"/>
      <c r="B661" s="32"/>
      <c r="C661" s="33"/>
      <c r="D661" s="34"/>
      <c r="E661" s="35"/>
    </row>
    <row r="662" spans="1:5" x14ac:dyDescent="0.25">
      <c r="A662" s="32"/>
      <c r="B662" s="32"/>
      <c r="C662" s="33"/>
      <c r="D662" s="34"/>
      <c r="E662" s="35"/>
    </row>
    <row r="663" spans="1:5" x14ac:dyDescent="0.25">
      <c r="A663" s="32"/>
      <c r="B663" s="32"/>
      <c r="C663" s="33"/>
      <c r="D663" s="34"/>
      <c r="E663" s="35"/>
    </row>
    <row r="664" spans="1:5" x14ac:dyDescent="0.25">
      <c r="A664" s="32"/>
      <c r="B664" s="32"/>
      <c r="C664" s="33"/>
      <c r="D664" s="34"/>
      <c r="E664" s="35"/>
    </row>
    <row r="665" spans="1:5" x14ac:dyDescent="0.25">
      <c r="A665" s="32"/>
      <c r="B665" s="32"/>
      <c r="C665" s="33"/>
      <c r="D665" s="34"/>
      <c r="E665" s="35"/>
    </row>
    <row r="666" spans="1:5" x14ac:dyDescent="0.25">
      <c r="A666" s="32"/>
      <c r="B666" s="32"/>
      <c r="C666" s="33"/>
      <c r="D666" s="34"/>
      <c r="E666" s="35"/>
    </row>
    <row r="667" spans="1:5" x14ac:dyDescent="0.25">
      <c r="A667" s="32"/>
      <c r="B667" s="32"/>
      <c r="C667" s="33"/>
      <c r="D667" s="34"/>
      <c r="E667" s="35"/>
    </row>
    <row r="668" spans="1:5" x14ac:dyDescent="0.25">
      <c r="A668" s="32"/>
      <c r="B668" s="32"/>
      <c r="C668" s="33"/>
      <c r="D668" s="34"/>
      <c r="E668" s="35"/>
    </row>
    <row r="669" spans="1:5" x14ac:dyDescent="0.25">
      <c r="A669" s="32"/>
      <c r="B669" s="32"/>
      <c r="C669" s="33"/>
      <c r="D669" s="34"/>
      <c r="E669" s="35"/>
    </row>
    <row r="670" spans="1:5" x14ac:dyDescent="0.25">
      <c r="A670" s="32"/>
      <c r="B670" s="32"/>
      <c r="C670" s="33"/>
      <c r="D670" s="34"/>
      <c r="E670" s="35"/>
    </row>
    <row r="671" spans="1:5" x14ac:dyDescent="0.25">
      <c r="A671" s="32"/>
      <c r="B671" s="32"/>
      <c r="C671" s="33"/>
      <c r="D671" s="34"/>
      <c r="E671" s="35"/>
    </row>
    <row r="672" spans="1:5" x14ac:dyDescent="0.25">
      <c r="A672" s="32"/>
      <c r="B672" s="32"/>
      <c r="C672" s="33"/>
      <c r="D672" s="34"/>
      <c r="E672" s="35"/>
    </row>
    <row r="673" spans="1:5" x14ac:dyDescent="0.25">
      <c r="A673" s="32"/>
      <c r="B673" s="32"/>
      <c r="C673" s="33"/>
      <c r="D673" s="34"/>
      <c r="E673" s="35"/>
    </row>
    <row r="674" spans="1:5" x14ac:dyDescent="0.25">
      <c r="A674" s="32"/>
      <c r="B674" s="32"/>
      <c r="C674" s="33"/>
      <c r="D674" s="34"/>
      <c r="E674" s="35"/>
    </row>
    <row r="675" spans="1:5" x14ac:dyDescent="0.25">
      <c r="A675" s="32"/>
      <c r="B675" s="32"/>
      <c r="C675" s="33"/>
      <c r="D675" s="34"/>
      <c r="E675" s="35"/>
    </row>
    <row r="676" spans="1:5" x14ac:dyDescent="0.25">
      <c r="A676" s="32"/>
      <c r="B676" s="32"/>
      <c r="C676" s="33"/>
      <c r="D676" s="34"/>
      <c r="E676" s="35"/>
    </row>
    <row r="677" spans="1:5" x14ac:dyDescent="0.25">
      <c r="A677" s="32"/>
      <c r="B677" s="32"/>
      <c r="C677" s="33"/>
      <c r="D677" s="34"/>
      <c r="E677" s="35"/>
    </row>
    <row r="678" spans="1:5" x14ac:dyDescent="0.25">
      <c r="A678" s="32"/>
      <c r="B678" s="32"/>
      <c r="C678" s="33"/>
      <c r="D678" s="34"/>
      <c r="E678" s="35"/>
    </row>
    <row r="679" spans="1:5" x14ac:dyDescent="0.25">
      <c r="A679" s="32"/>
      <c r="B679" s="32"/>
      <c r="C679" s="33"/>
      <c r="D679" s="34"/>
      <c r="E679" s="35"/>
    </row>
    <row r="680" spans="1:5" x14ac:dyDescent="0.25">
      <c r="A680" s="32"/>
      <c r="B680" s="32"/>
      <c r="C680" s="33"/>
      <c r="D680" s="34"/>
      <c r="E680" s="35"/>
    </row>
    <row r="681" spans="1:5" x14ac:dyDescent="0.25">
      <c r="A681" s="32"/>
      <c r="B681" s="32"/>
      <c r="C681" s="33"/>
      <c r="D681" s="34"/>
      <c r="E681" s="35"/>
    </row>
    <row r="682" spans="1:5" x14ac:dyDescent="0.25">
      <c r="A682" s="32"/>
      <c r="B682" s="32"/>
      <c r="C682" s="33"/>
      <c r="D682" s="34"/>
      <c r="E682" s="35"/>
    </row>
    <row r="683" spans="1:5" x14ac:dyDescent="0.25">
      <c r="A683" s="32"/>
      <c r="B683" s="32"/>
      <c r="C683" s="33"/>
      <c r="D683" s="34"/>
      <c r="E683" s="35"/>
    </row>
    <row r="684" spans="1:5" x14ac:dyDescent="0.25">
      <c r="A684" s="32"/>
      <c r="B684" s="32"/>
      <c r="C684" s="33"/>
      <c r="D684" s="34"/>
      <c r="E684" s="35"/>
    </row>
    <row r="685" spans="1:5" x14ac:dyDescent="0.25">
      <c r="A685" s="32"/>
      <c r="B685" s="32"/>
      <c r="C685" s="33"/>
      <c r="D685" s="34"/>
      <c r="E685" s="35"/>
    </row>
    <row r="686" spans="1:5" x14ac:dyDescent="0.25">
      <c r="A686" s="32"/>
      <c r="B686" s="32"/>
      <c r="C686" s="33"/>
      <c r="D686" s="34"/>
      <c r="E686" s="35"/>
    </row>
    <row r="687" spans="1:5" x14ac:dyDescent="0.25">
      <c r="A687" s="32"/>
      <c r="B687" s="32"/>
      <c r="C687" s="33"/>
      <c r="D687" s="34"/>
      <c r="E687" s="35"/>
    </row>
    <row r="688" spans="1:5" x14ac:dyDescent="0.25">
      <c r="A688" s="32"/>
      <c r="B688" s="32"/>
      <c r="C688" s="33"/>
      <c r="D688" s="34"/>
      <c r="E688" s="35"/>
    </row>
    <row r="689" spans="1:5" x14ac:dyDescent="0.25">
      <c r="A689" s="32"/>
      <c r="B689" s="32"/>
      <c r="C689" s="33"/>
      <c r="D689" s="34"/>
      <c r="E689" s="35"/>
    </row>
    <row r="690" spans="1:5" x14ac:dyDescent="0.25">
      <c r="A690" s="32"/>
      <c r="B690" s="32"/>
      <c r="C690" s="33"/>
      <c r="D690" s="34"/>
      <c r="E690" s="35"/>
    </row>
    <row r="691" spans="1:5" x14ac:dyDescent="0.25">
      <c r="A691" s="32"/>
      <c r="B691" s="32"/>
      <c r="C691" s="33"/>
      <c r="D691" s="34"/>
      <c r="E691" s="35"/>
    </row>
    <row r="692" spans="1:5" x14ac:dyDescent="0.25">
      <c r="A692" s="32"/>
      <c r="B692" s="32"/>
      <c r="C692" s="33"/>
      <c r="D692" s="34"/>
      <c r="E692" s="35"/>
    </row>
    <row r="693" spans="1:5" x14ac:dyDescent="0.25">
      <c r="A693" s="32"/>
      <c r="B693" s="32"/>
      <c r="C693" s="33"/>
      <c r="D693" s="34"/>
      <c r="E693" s="35"/>
    </row>
    <row r="694" spans="1:5" x14ac:dyDescent="0.25">
      <c r="A694" s="32"/>
      <c r="B694" s="32"/>
      <c r="C694" s="33"/>
      <c r="D694" s="34"/>
      <c r="E694" s="35"/>
    </row>
    <row r="695" spans="1:5" x14ac:dyDescent="0.25">
      <c r="A695" s="32"/>
      <c r="B695" s="32"/>
      <c r="C695" s="33"/>
      <c r="D695" s="34"/>
      <c r="E695" s="35"/>
    </row>
    <row r="696" spans="1:5" x14ac:dyDescent="0.25">
      <c r="A696" s="32"/>
      <c r="B696" s="32"/>
      <c r="C696" s="33"/>
      <c r="D696" s="34"/>
      <c r="E696" s="35"/>
    </row>
    <row r="697" spans="1:5" x14ac:dyDescent="0.25">
      <c r="A697" s="32"/>
      <c r="B697" s="32"/>
      <c r="C697" s="33"/>
      <c r="D697" s="34"/>
      <c r="E697" s="35"/>
    </row>
    <row r="698" spans="1:5" x14ac:dyDescent="0.25">
      <c r="A698" s="32"/>
      <c r="B698" s="32"/>
      <c r="C698" s="33"/>
      <c r="D698" s="34"/>
      <c r="E698" s="35"/>
    </row>
    <row r="699" spans="1:5" x14ac:dyDescent="0.25">
      <c r="A699" s="32"/>
      <c r="B699" s="32"/>
      <c r="C699" s="33"/>
      <c r="D699" s="34"/>
      <c r="E699" s="35"/>
    </row>
    <row r="700" spans="1:5" x14ac:dyDescent="0.25">
      <c r="A700" s="32"/>
      <c r="B700" s="32"/>
      <c r="C700" s="33"/>
      <c r="D700" s="34"/>
      <c r="E700" s="35"/>
    </row>
    <row r="701" spans="1:5" x14ac:dyDescent="0.25">
      <c r="A701" s="32"/>
      <c r="B701" s="32"/>
      <c r="C701" s="33"/>
      <c r="D701" s="34"/>
      <c r="E701" s="35"/>
    </row>
    <row r="702" spans="1:5" x14ac:dyDescent="0.25">
      <c r="A702" s="32"/>
      <c r="B702" s="32"/>
      <c r="C702" s="33"/>
      <c r="D702" s="34"/>
      <c r="E702" s="35"/>
    </row>
    <row r="703" spans="1:5" x14ac:dyDescent="0.25">
      <c r="A703" s="32"/>
      <c r="B703" s="32"/>
      <c r="C703" s="33"/>
      <c r="D703" s="34"/>
      <c r="E703" s="35"/>
    </row>
    <row r="704" spans="1:5" x14ac:dyDescent="0.25">
      <c r="A704" s="32"/>
      <c r="B704" s="32"/>
      <c r="C704" s="33"/>
      <c r="D704" s="34"/>
      <c r="E704" s="35"/>
    </row>
    <row r="705" spans="1:5" x14ac:dyDescent="0.25">
      <c r="A705" s="32"/>
      <c r="B705" s="32"/>
      <c r="C705" s="33"/>
      <c r="D705" s="34"/>
      <c r="E705" s="35"/>
    </row>
    <row r="706" spans="1:5" x14ac:dyDescent="0.25">
      <c r="A706" s="32"/>
      <c r="B706" s="32"/>
      <c r="C706" s="33"/>
      <c r="D706" s="34"/>
      <c r="E706" s="35"/>
    </row>
    <row r="707" spans="1:5" x14ac:dyDescent="0.25">
      <c r="A707" s="32"/>
      <c r="B707" s="32"/>
      <c r="C707" s="33"/>
      <c r="D707" s="34"/>
      <c r="E707" s="35"/>
    </row>
    <row r="708" spans="1:5" x14ac:dyDescent="0.25">
      <c r="A708" s="32"/>
      <c r="B708" s="32"/>
      <c r="C708" s="33"/>
      <c r="D708" s="34"/>
      <c r="E708" s="35"/>
    </row>
    <row r="709" spans="1:5" x14ac:dyDescent="0.25">
      <c r="A709" s="32"/>
      <c r="B709" s="32"/>
      <c r="C709" s="33"/>
      <c r="D709" s="34"/>
      <c r="E709" s="35"/>
    </row>
    <row r="710" spans="1:5" x14ac:dyDescent="0.25">
      <c r="A710" s="32"/>
      <c r="B710" s="32"/>
      <c r="C710" s="33"/>
      <c r="D710" s="34"/>
      <c r="E710" s="35"/>
    </row>
    <row r="711" spans="1:5" x14ac:dyDescent="0.25">
      <c r="A711" s="32"/>
      <c r="B711" s="32"/>
      <c r="C711" s="33"/>
      <c r="D711" s="34"/>
      <c r="E711" s="35"/>
    </row>
    <row r="712" spans="1:5" x14ac:dyDescent="0.25">
      <c r="A712" s="32"/>
      <c r="B712" s="32"/>
      <c r="C712" s="33"/>
      <c r="D712" s="34"/>
      <c r="E712" s="35"/>
    </row>
    <row r="713" spans="1:5" x14ac:dyDescent="0.25">
      <c r="A713" s="32"/>
      <c r="B713" s="32"/>
      <c r="C713" s="33"/>
      <c r="D713" s="34"/>
      <c r="E713" s="35"/>
    </row>
    <row r="714" spans="1:5" x14ac:dyDescent="0.25">
      <c r="A714" s="32"/>
      <c r="B714" s="32"/>
      <c r="C714" s="33"/>
      <c r="D714" s="34"/>
      <c r="E714" s="35"/>
    </row>
    <row r="715" spans="1:5" x14ac:dyDescent="0.25">
      <c r="A715" s="32"/>
      <c r="B715" s="32"/>
      <c r="C715" s="33"/>
      <c r="D715" s="34"/>
      <c r="E715" s="35"/>
    </row>
    <row r="716" spans="1:5" x14ac:dyDescent="0.25">
      <c r="A716" s="32"/>
      <c r="B716" s="32"/>
      <c r="C716" s="33"/>
      <c r="D716" s="34"/>
      <c r="E716" s="35"/>
    </row>
    <row r="717" spans="1:5" x14ac:dyDescent="0.25">
      <c r="A717" s="32"/>
      <c r="B717" s="32"/>
      <c r="C717" s="33"/>
      <c r="D717" s="34"/>
      <c r="E717" s="35"/>
    </row>
    <row r="718" spans="1:5" x14ac:dyDescent="0.25">
      <c r="A718" s="32"/>
      <c r="B718" s="32"/>
      <c r="C718" s="33"/>
      <c r="D718" s="34"/>
      <c r="E718" s="35"/>
    </row>
    <row r="719" spans="1:5" x14ac:dyDescent="0.25">
      <c r="A719" s="32"/>
      <c r="B719" s="32"/>
      <c r="C719" s="33"/>
      <c r="D719" s="34"/>
      <c r="E719" s="35"/>
    </row>
    <row r="720" spans="1:5" x14ac:dyDescent="0.25">
      <c r="A720" s="32"/>
      <c r="B720" s="32"/>
      <c r="C720" s="33"/>
      <c r="D720" s="34"/>
      <c r="E720" s="35"/>
    </row>
    <row r="721" spans="1:5" x14ac:dyDescent="0.25">
      <c r="A721" s="32"/>
      <c r="B721" s="32"/>
      <c r="C721" s="33"/>
      <c r="D721" s="34"/>
      <c r="E721" s="35"/>
    </row>
    <row r="722" spans="1:5" x14ac:dyDescent="0.25">
      <c r="A722" s="32"/>
      <c r="B722" s="32"/>
      <c r="C722" s="33"/>
      <c r="D722" s="34"/>
      <c r="E722" s="35"/>
    </row>
    <row r="723" spans="1:5" x14ac:dyDescent="0.25">
      <c r="A723" s="32"/>
      <c r="B723" s="32"/>
      <c r="C723" s="33"/>
      <c r="D723" s="34"/>
      <c r="E723" s="35"/>
    </row>
    <row r="724" spans="1:5" x14ac:dyDescent="0.25">
      <c r="A724" s="32"/>
      <c r="B724" s="32"/>
      <c r="C724" s="33"/>
      <c r="D724" s="34"/>
      <c r="E724" s="35"/>
    </row>
    <row r="725" spans="1:5" x14ac:dyDescent="0.25">
      <c r="A725" s="32"/>
      <c r="B725" s="32"/>
      <c r="C725" s="33"/>
      <c r="D725" s="34"/>
      <c r="E725" s="35"/>
    </row>
    <row r="726" spans="1:5" x14ac:dyDescent="0.25">
      <c r="A726" s="32"/>
      <c r="B726" s="32"/>
      <c r="C726" s="33"/>
      <c r="D726" s="34"/>
      <c r="E726" s="35"/>
    </row>
    <row r="727" spans="1:5" x14ac:dyDescent="0.25">
      <c r="A727" s="32"/>
      <c r="B727" s="32"/>
      <c r="C727" s="33"/>
      <c r="D727" s="34"/>
      <c r="E727" s="35"/>
    </row>
    <row r="728" spans="1:5" x14ac:dyDescent="0.25">
      <c r="A728" s="32"/>
      <c r="B728" s="32"/>
      <c r="C728" s="33"/>
      <c r="D728" s="34"/>
      <c r="E728" s="35"/>
    </row>
    <row r="729" spans="1:5" x14ac:dyDescent="0.25">
      <c r="A729" s="32"/>
      <c r="B729" s="32"/>
      <c r="C729" s="33"/>
      <c r="D729" s="34"/>
      <c r="E729" s="35"/>
    </row>
    <row r="730" spans="1:5" x14ac:dyDescent="0.25">
      <c r="A730" s="32"/>
      <c r="B730" s="32"/>
      <c r="C730" s="33"/>
      <c r="D730" s="34"/>
      <c r="E730" s="35"/>
    </row>
    <row r="731" spans="1:5" x14ac:dyDescent="0.25">
      <c r="A731" s="32"/>
      <c r="B731" s="32"/>
      <c r="C731" s="33"/>
      <c r="D731" s="34"/>
      <c r="E731" s="35"/>
    </row>
    <row r="732" spans="1:5" x14ac:dyDescent="0.25">
      <c r="A732" s="32"/>
      <c r="B732" s="32"/>
      <c r="C732" s="33"/>
      <c r="D732" s="34"/>
      <c r="E732" s="35"/>
    </row>
    <row r="733" spans="1:5" x14ac:dyDescent="0.25">
      <c r="A733" s="32"/>
      <c r="B733" s="32"/>
      <c r="C733" s="33"/>
      <c r="D733" s="34"/>
      <c r="E733" s="35"/>
    </row>
    <row r="734" spans="1:5" x14ac:dyDescent="0.25">
      <c r="A734" s="32"/>
      <c r="B734" s="32"/>
      <c r="C734" s="33"/>
      <c r="D734" s="34"/>
      <c r="E734" s="35"/>
    </row>
    <row r="735" spans="1:5" x14ac:dyDescent="0.25">
      <c r="A735" s="32"/>
      <c r="B735" s="32"/>
      <c r="C735" s="33"/>
      <c r="D735" s="34"/>
      <c r="E735" s="35"/>
    </row>
    <row r="736" spans="1:5" x14ac:dyDescent="0.25">
      <c r="A736" s="32"/>
      <c r="B736" s="32"/>
      <c r="C736" s="33"/>
      <c r="D736" s="34"/>
      <c r="E736" s="35"/>
    </row>
    <row r="737" spans="1:5" x14ac:dyDescent="0.25">
      <c r="A737" s="32"/>
      <c r="B737" s="32"/>
      <c r="C737" s="33"/>
      <c r="D737" s="34"/>
      <c r="E737" s="35"/>
    </row>
    <row r="738" spans="1:5" x14ac:dyDescent="0.25">
      <c r="A738" s="32"/>
      <c r="B738" s="32"/>
      <c r="C738" s="33"/>
      <c r="D738" s="34"/>
      <c r="E738" s="35"/>
    </row>
    <row r="739" spans="1:5" x14ac:dyDescent="0.25">
      <c r="A739" s="32"/>
      <c r="B739" s="32"/>
      <c r="C739" s="33"/>
      <c r="D739" s="34"/>
      <c r="E739" s="35"/>
    </row>
    <row r="740" spans="1:5" x14ac:dyDescent="0.25">
      <c r="A740" s="32"/>
      <c r="B740" s="32"/>
      <c r="C740" s="33"/>
      <c r="D740" s="34"/>
      <c r="E740" s="35"/>
    </row>
    <row r="741" spans="1:5" x14ac:dyDescent="0.25">
      <c r="A741" s="32"/>
      <c r="B741" s="32"/>
      <c r="C741" s="33"/>
      <c r="D741" s="34"/>
      <c r="E741" s="35"/>
    </row>
    <row r="742" spans="1:5" x14ac:dyDescent="0.25">
      <c r="A742" s="32"/>
      <c r="B742" s="32"/>
      <c r="C742" s="33"/>
      <c r="D742" s="34"/>
      <c r="E742" s="35"/>
    </row>
    <row r="743" spans="1:5" x14ac:dyDescent="0.25">
      <c r="A743" s="32"/>
      <c r="B743" s="32"/>
      <c r="C743" s="33"/>
      <c r="D743" s="34"/>
      <c r="E743" s="35"/>
    </row>
    <row r="744" spans="1:5" x14ac:dyDescent="0.25">
      <c r="A744" s="32"/>
      <c r="B744" s="32"/>
      <c r="C744" s="33"/>
      <c r="D744" s="34"/>
      <c r="E744" s="35"/>
    </row>
    <row r="745" spans="1:5" x14ac:dyDescent="0.25">
      <c r="A745" s="32"/>
      <c r="B745" s="32"/>
      <c r="C745" s="33"/>
      <c r="D745" s="34"/>
      <c r="E745" s="35"/>
    </row>
    <row r="746" spans="1:5" x14ac:dyDescent="0.25">
      <c r="A746" s="32"/>
      <c r="B746" s="32"/>
      <c r="C746" s="33"/>
      <c r="D746" s="34"/>
      <c r="E746" s="35"/>
    </row>
    <row r="747" spans="1:5" x14ac:dyDescent="0.25">
      <c r="A747" s="32"/>
      <c r="B747" s="32"/>
      <c r="C747" s="33"/>
      <c r="D747" s="34"/>
      <c r="E747" s="35"/>
    </row>
    <row r="748" spans="1:5" x14ac:dyDescent="0.25">
      <c r="A748" s="32"/>
      <c r="B748" s="32"/>
      <c r="C748" s="33"/>
      <c r="D748" s="34"/>
      <c r="E748" s="35"/>
    </row>
    <row r="749" spans="1:5" x14ac:dyDescent="0.25">
      <c r="A749" s="32"/>
      <c r="B749" s="32"/>
      <c r="C749" s="33"/>
      <c r="D749" s="34"/>
      <c r="E749" s="35"/>
    </row>
    <row r="750" spans="1:5" x14ac:dyDescent="0.25">
      <c r="A750" s="32"/>
      <c r="B750" s="32"/>
      <c r="C750" s="33"/>
      <c r="D750" s="34"/>
      <c r="E750" s="35"/>
    </row>
    <row r="751" spans="1:5" x14ac:dyDescent="0.25">
      <c r="A751" s="32"/>
      <c r="B751" s="32"/>
      <c r="C751" s="33"/>
      <c r="D751" s="34"/>
      <c r="E751" s="35"/>
    </row>
    <row r="752" spans="1:5" x14ac:dyDescent="0.25">
      <c r="A752" s="32"/>
      <c r="B752" s="32"/>
      <c r="C752" s="33"/>
      <c r="D752" s="34"/>
      <c r="E752" s="35"/>
    </row>
    <row r="753" spans="1:5" x14ac:dyDescent="0.25">
      <c r="A753" s="32"/>
      <c r="B753" s="32"/>
      <c r="C753" s="33"/>
      <c r="D753" s="34"/>
      <c r="E753" s="35"/>
    </row>
    <row r="754" spans="1:5" x14ac:dyDescent="0.25">
      <c r="A754" s="32"/>
      <c r="B754" s="32"/>
      <c r="C754" s="33"/>
      <c r="D754" s="34"/>
      <c r="E754" s="35"/>
    </row>
    <row r="755" spans="1:5" x14ac:dyDescent="0.25">
      <c r="A755" s="32"/>
      <c r="B755" s="32"/>
      <c r="C755" s="33"/>
      <c r="D755" s="34"/>
      <c r="E755" s="35"/>
    </row>
    <row r="756" spans="1:5" x14ac:dyDescent="0.25">
      <c r="A756" s="32"/>
      <c r="B756" s="32"/>
      <c r="C756" s="33"/>
      <c r="D756" s="34"/>
      <c r="E756" s="35"/>
    </row>
    <row r="757" spans="1:5" x14ac:dyDescent="0.25">
      <c r="A757" s="32"/>
      <c r="B757" s="32"/>
      <c r="C757" s="33"/>
      <c r="D757" s="34"/>
      <c r="E757" s="35"/>
    </row>
    <row r="758" spans="1:5" x14ac:dyDescent="0.25">
      <c r="A758" s="32"/>
      <c r="B758" s="32"/>
      <c r="C758" s="33"/>
      <c r="D758" s="34"/>
      <c r="E758" s="35"/>
    </row>
    <row r="759" spans="1:5" x14ac:dyDescent="0.25">
      <c r="A759" s="32"/>
      <c r="B759" s="32"/>
      <c r="C759" s="33"/>
      <c r="D759" s="34"/>
      <c r="E759" s="35"/>
    </row>
    <row r="760" spans="1:5" x14ac:dyDescent="0.25">
      <c r="A760" s="32"/>
      <c r="B760" s="32"/>
      <c r="C760" s="33"/>
      <c r="D760" s="34"/>
      <c r="E760" s="35"/>
    </row>
    <row r="761" spans="1:5" x14ac:dyDescent="0.25">
      <c r="A761" s="32"/>
      <c r="B761" s="32"/>
      <c r="C761" s="33"/>
      <c r="D761" s="34"/>
      <c r="E761" s="35"/>
    </row>
    <row r="762" spans="1:5" x14ac:dyDescent="0.25">
      <c r="A762" s="32"/>
      <c r="B762" s="32"/>
      <c r="C762" s="33"/>
      <c r="D762" s="34"/>
      <c r="E762" s="35"/>
    </row>
    <row r="763" spans="1:5" x14ac:dyDescent="0.25">
      <c r="A763" s="32"/>
      <c r="B763" s="32"/>
      <c r="C763" s="33"/>
      <c r="D763" s="34"/>
      <c r="E763" s="35"/>
    </row>
    <row r="764" spans="1:5" x14ac:dyDescent="0.25">
      <c r="A764" s="32"/>
      <c r="B764" s="32"/>
      <c r="C764" s="33"/>
      <c r="D764" s="34"/>
      <c r="E764" s="35"/>
    </row>
    <row r="765" spans="1:5" x14ac:dyDescent="0.25">
      <c r="A765" s="32"/>
      <c r="B765" s="32"/>
      <c r="C765" s="33"/>
      <c r="D765" s="34"/>
      <c r="E765" s="35"/>
    </row>
    <row r="766" spans="1:5" x14ac:dyDescent="0.25">
      <c r="A766" s="32"/>
      <c r="B766" s="32"/>
      <c r="C766" s="33"/>
      <c r="D766" s="34"/>
      <c r="E766" s="35"/>
    </row>
    <row r="767" spans="1:5" x14ac:dyDescent="0.25">
      <c r="A767" s="32"/>
      <c r="B767" s="32"/>
      <c r="C767" s="33"/>
      <c r="D767" s="34"/>
      <c r="E767" s="35"/>
    </row>
    <row r="768" spans="1:5" x14ac:dyDescent="0.25">
      <c r="A768" s="32"/>
      <c r="B768" s="32"/>
      <c r="C768" s="33"/>
      <c r="D768" s="34"/>
      <c r="E768" s="35"/>
    </row>
    <row r="769" spans="1:5" x14ac:dyDescent="0.25">
      <c r="A769" s="32"/>
      <c r="B769" s="32"/>
      <c r="C769" s="33"/>
      <c r="D769" s="34"/>
      <c r="E769" s="35"/>
    </row>
    <row r="770" spans="1:5" x14ac:dyDescent="0.25">
      <c r="A770" s="32"/>
      <c r="B770" s="32"/>
      <c r="C770" s="33"/>
      <c r="D770" s="34"/>
      <c r="E770" s="35"/>
    </row>
    <row r="771" spans="1:5" x14ac:dyDescent="0.25">
      <c r="A771" s="32"/>
      <c r="B771" s="32"/>
      <c r="C771" s="33"/>
      <c r="D771" s="34"/>
      <c r="E771" s="35"/>
    </row>
    <row r="772" spans="1:5" x14ac:dyDescent="0.25">
      <c r="A772" s="32"/>
      <c r="B772" s="32"/>
      <c r="C772" s="33"/>
      <c r="D772" s="34"/>
      <c r="E772" s="35"/>
    </row>
    <row r="773" spans="1:5" x14ac:dyDescent="0.25">
      <c r="A773" s="32"/>
      <c r="B773" s="32"/>
      <c r="C773" s="33"/>
      <c r="D773" s="34"/>
      <c r="E773" s="35"/>
    </row>
    <row r="774" spans="1:5" x14ac:dyDescent="0.25">
      <c r="A774" s="32"/>
      <c r="B774" s="32"/>
      <c r="C774" s="33"/>
      <c r="D774" s="34"/>
      <c r="E774" s="35"/>
    </row>
    <row r="775" spans="1:5" x14ac:dyDescent="0.25">
      <c r="A775" s="32"/>
      <c r="B775" s="32"/>
      <c r="C775" s="33"/>
      <c r="D775" s="34"/>
      <c r="E775" s="35"/>
    </row>
    <row r="776" spans="1:5" x14ac:dyDescent="0.25">
      <c r="A776" s="32"/>
      <c r="B776" s="32"/>
      <c r="C776" s="33"/>
      <c r="D776" s="34"/>
      <c r="E776" s="35"/>
    </row>
    <row r="777" spans="1:5" x14ac:dyDescent="0.25">
      <c r="A777" s="32"/>
      <c r="B777" s="32"/>
      <c r="C777" s="33"/>
      <c r="D777" s="34"/>
      <c r="E777" s="35"/>
    </row>
    <row r="778" spans="1:5" x14ac:dyDescent="0.25">
      <c r="A778" s="32"/>
      <c r="B778" s="32"/>
      <c r="C778" s="33"/>
      <c r="D778" s="34"/>
      <c r="E778" s="35"/>
    </row>
    <row r="779" spans="1:5" x14ac:dyDescent="0.25">
      <c r="A779" s="32"/>
      <c r="B779" s="32"/>
      <c r="C779" s="33"/>
      <c r="D779" s="34"/>
      <c r="E779" s="35"/>
    </row>
    <row r="780" spans="1:5" x14ac:dyDescent="0.25">
      <c r="A780" s="32"/>
      <c r="B780" s="32"/>
      <c r="C780" s="33"/>
      <c r="D780" s="34"/>
      <c r="E780" s="35"/>
    </row>
    <row r="781" spans="1:5" x14ac:dyDescent="0.25">
      <c r="A781" s="32"/>
      <c r="B781" s="32"/>
      <c r="C781" s="33"/>
      <c r="D781" s="34"/>
      <c r="E781" s="35"/>
    </row>
    <row r="782" spans="1:5" x14ac:dyDescent="0.25">
      <c r="A782" s="32"/>
      <c r="B782" s="32"/>
      <c r="C782" s="33"/>
      <c r="D782" s="34"/>
      <c r="E782" s="35"/>
    </row>
    <row r="783" spans="1:5" x14ac:dyDescent="0.25">
      <c r="A783" s="32"/>
      <c r="B783" s="32"/>
      <c r="C783" s="33"/>
      <c r="D783" s="34"/>
      <c r="E783" s="35"/>
    </row>
    <row r="784" spans="1:5" x14ac:dyDescent="0.25">
      <c r="A784" s="32"/>
      <c r="B784" s="32"/>
      <c r="C784" s="33"/>
      <c r="D784" s="34"/>
      <c r="E784" s="35"/>
    </row>
    <row r="785" spans="1:5" x14ac:dyDescent="0.25">
      <c r="A785" s="32"/>
      <c r="B785" s="32"/>
      <c r="C785" s="33"/>
      <c r="D785" s="34"/>
      <c r="E785" s="35"/>
    </row>
    <row r="786" spans="1:5" x14ac:dyDescent="0.25">
      <c r="A786" s="32"/>
      <c r="B786" s="32"/>
      <c r="C786" s="33"/>
      <c r="D786" s="34"/>
      <c r="E786" s="35"/>
    </row>
    <row r="787" spans="1:5" x14ac:dyDescent="0.25">
      <c r="A787" s="32"/>
      <c r="B787" s="32"/>
      <c r="C787" s="33"/>
      <c r="D787" s="34"/>
      <c r="E787" s="35"/>
    </row>
    <row r="788" spans="1:5" x14ac:dyDescent="0.25">
      <c r="A788" s="32"/>
      <c r="B788" s="32"/>
      <c r="C788" s="33"/>
      <c r="D788" s="34"/>
      <c r="E788" s="35"/>
    </row>
    <row r="789" spans="1:5" x14ac:dyDescent="0.25">
      <c r="A789" s="32"/>
      <c r="B789" s="32"/>
      <c r="C789" s="33"/>
      <c r="D789" s="34"/>
      <c r="E789" s="35"/>
    </row>
    <row r="790" spans="1:5" x14ac:dyDescent="0.25">
      <c r="A790" s="32"/>
      <c r="B790" s="32"/>
      <c r="C790" s="33"/>
      <c r="D790" s="34"/>
      <c r="E790" s="35"/>
    </row>
    <row r="791" spans="1:5" x14ac:dyDescent="0.25">
      <c r="A791" s="32"/>
      <c r="B791" s="32"/>
      <c r="C791" s="33"/>
      <c r="D791" s="34"/>
      <c r="E791" s="35"/>
    </row>
    <row r="792" spans="1:5" x14ac:dyDescent="0.25">
      <c r="A792" s="32"/>
      <c r="B792" s="32"/>
      <c r="C792" s="33"/>
      <c r="D792" s="34"/>
      <c r="E792" s="35"/>
    </row>
    <row r="793" spans="1:5" x14ac:dyDescent="0.25">
      <c r="A793" s="32"/>
      <c r="B793" s="32"/>
      <c r="C793" s="33"/>
      <c r="D793" s="34"/>
      <c r="E793" s="35"/>
    </row>
    <row r="794" spans="1:5" x14ac:dyDescent="0.25">
      <c r="A794" s="32"/>
      <c r="B794" s="32"/>
      <c r="C794" s="33"/>
      <c r="D794" s="34"/>
      <c r="E794" s="35"/>
    </row>
    <row r="795" spans="1:5" x14ac:dyDescent="0.25">
      <c r="A795" s="32"/>
      <c r="B795" s="32"/>
      <c r="C795" s="33"/>
      <c r="D795" s="34"/>
      <c r="E795" s="35"/>
    </row>
    <row r="796" spans="1:5" x14ac:dyDescent="0.25">
      <c r="A796" s="32"/>
      <c r="B796" s="32"/>
      <c r="C796" s="33"/>
      <c r="D796" s="34"/>
      <c r="E796" s="35"/>
    </row>
    <row r="797" spans="1:5" x14ac:dyDescent="0.25">
      <c r="A797" s="32"/>
      <c r="B797" s="32"/>
      <c r="C797" s="33"/>
      <c r="D797" s="34"/>
      <c r="E797" s="35"/>
    </row>
    <row r="798" spans="1:5" x14ac:dyDescent="0.25">
      <c r="A798" s="32"/>
      <c r="B798" s="32"/>
      <c r="C798" s="33"/>
      <c r="D798" s="34"/>
      <c r="E798" s="35"/>
    </row>
    <row r="799" spans="1:5" x14ac:dyDescent="0.25">
      <c r="A799" s="32"/>
      <c r="B799" s="32"/>
      <c r="C799" s="33"/>
      <c r="D799" s="34"/>
      <c r="E799" s="35"/>
    </row>
    <row r="800" spans="1:5" x14ac:dyDescent="0.25">
      <c r="A800" s="32"/>
      <c r="B800" s="32"/>
      <c r="C800" s="33"/>
      <c r="D800" s="34"/>
      <c r="E800" s="35"/>
    </row>
    <row r="801" spans="1:5" x14ac:dyDescent="0.25">
      <c r="A801" s="32"/>
      <c r="B801" s="32"/>
      <c r="C801" s="33"/>
      <c r="D801" s="34"/>
      <c r="E801" s="35"/>
    </row>
    <row r="802" spans="1:5" x14ac:dyDescent="0.25">
      <c r="A802" s="32"/>
      <c r="B802" s="32"/>
      <c r="C802" s="33"/>
      <c r="D802" s="34"/>
      <c r="E802" s="35"/>
    </row>
    <row r="803" spans="1:5" x14ac:dyDescent="0.25">
      <c r="A803" s="32"/>
      <c r="B803" s="32"/>
      <c r="C803" s="33"/>
      <c r="D803" s="34"/>
      <c r="E803" s="35"/>
    </row>
    <row r="804" spans="1:5" x14ac:dyDescent="0.25">
      <c r="A804" s="32"/>
      <c r="B804" s="32"/>
      <c r="C804" s="33"/>
      <c r="D804" s="34"/>
      <c r="E804" s="35"/>
    </row>
    <row r="805" spans="1:5" x14ac:dyDescent="0.25">
      <c r="A805" s="32"/>
      <c r="B805" s="32"/>
      <c r="C805" s="33"/>
      <c r="D805" s="34"/>
      <c r="E805" s="35"/>
    </row>
    <row r="806" spans="1:5" x14ac:dyDescent="0.25">
      <c r="A806" s="32"/>
      <c r="B806" s="32"/>
      <c r="C806" s="33"/>
      <c r="D806" s="34"/>
      <c r="E806" s="35"/>
    </row>
    <row r="807" spans="1:5" x14ac:dyDescent="0.25">
      <c r="A807" s="32"/>
      <c r="B807" s="32"/>
      <c r="C807" s="33"/>
      <c r="D807" s="34"/>
      <c r="E807" s="35"/>
    </row>
    <row r="808" spans="1:5" x14ac:dyDescent="0.25">
      <c r="A808" s="32"/>
      <c r="B808" s="32"/>
      <c r="C808" s="33"/>
      <c r="D808" s="34"/>
      <c r="E808" s="35"/>
    </row>
    <row r="809" spans="1:5" x14ac:dyDescent="0.25">
      <c r="A809" s="32"/>
      <c r="B809" s="32"/>
      <c r="C809" s="33"/>
      <c r="D809" s="34"/>
      <c r="E809" s="35"/>
    </row>
    <row r="810" spans="1:5" x14ac:dyDescent="0.25">
      <c r="A810" s="32"/>
      <c r="B810" s="32"/>
      <c r="C810" s="33"/>
      <c r="D810" s="34"/>
      <c r="E810" s="35"/>
    </row>
    <row r="811" spans="1:5" x14ac:dyDescent="0.25">
      <c r="A811" s="32"/>
      <c r="B811" s="32"/>
      <c r="C811" s="33"/>
      <c r="D811" s="34"/>
      <c r="E811" s="35"/>
    </row>
    <row r="812" spans="1:5" x14ac:dyDescent="0.25">
      <c r="A812" s="32"/>
      <c r="B812" s="32"/>
      <c r="C812" s="33"/>
      <c r="D812" s="34"/>
      <c r="E812" s="35"/>
    </row>
    <row r="813" spans="1:5" x14ac:dyDescent="0.25">
      <c r="A813" s="32"/>
      <c r="B813" s="32"/>
      <c r="C813" s="33"/>
      <c r="D813" s="34"/>
      <c r="E813" s="35"/>
    </row>
    <row r="814" spans="1:5" x14ac:dyDescent="0.25">
      <c r="A814" s="32"/>
      <c r="B814" s="32"/>
      <c r="C814" s="33"/>
      <c r="D814" s="34"/>
      <c r="E814" s="35"/>
    </row>
    <row r="815" spans="1:5" x14ac:dyDescent="0.25">
      <c r="A815" s="32"/>
      <c r="B815" s="32"/>
      <c r="C815" s="33"/>
      <c r="D815" s="34"/>
      <c r="E815" s="35"/>
    </row>
    <row r="816" spans="1:5" x14ac:dyDescent="0.25">
      <c r="A816" s="32"/>
      <c r="B816" s="32"/>
      <c r="C816" s="33"/>
      <c r="D816" s="34"/>
      <c r="E816" s="35"/>
    </row>
    <row r="817" spans="1:5" x14ac:dyDescent="0.25">
      <c r="A817" s="32"/>
      <c r="B817" s="32"/>
      <c r="C817" s="33"/>
      <c r="D817" s="34"/>
      <c r="E817" s="35"/>
    </row>
    <row r="818" spans="1:5" x14ac:dyDescent="0.25">
      <c r="A818" s="32"/>
      <c r="B818" s="32"/>
      <c r="C818" s="33"/>
      <c r="D818" s="34"/>
      <c r="E818" s="35"/>
    </row>
    <row r="819" spans="1:5" x14ac:dyDescent="0.25">
      <c r="A819" s="32"/>
      <c r="B819" s="32"/>
      <c r="C819" s="33"/>
      <c r="D819" s="34"/>
      <c r="E819" s="35"/>
    </row>
    <row r="820" spans="1:5" x14ac:dyDescent="0.25">
      <c r="A820" s="32"/>
      <c r="B820" s="32"/>
      <c r="C820" s="33"/>
      <c r="D820" s="34"/>
      <c r="E820" s="35"/>
    </row>
    <row r="821" spans="1:5" x14ac:dyDescent="0.25">
      <c r="A821" s="32"/>
      <c r="B821" s="32"/>
      <c r="C821" s="33"/>
      <c r="D821" s="34"/>
      <c r="E821" s="35"/>
    </row>
    <row r="822" spans="1:5" x14ac:dyDescent="0.25">
      <c r="A822" s="32"/>
      <c r="B822" s="32"/>
      <c r="C822" s="33"/>
      <c r="D822" s="34"/>
      <c r="E822" s="35"/>
    </row>
    <row r="823" spans="1:5" x14ac:dyDescent="0.25">
      <c r="A823" s="32"/>
      <c r="B823" s="32"/>
      <c r="C823" s="33"/>
      <c r="D823" s="34"/>
      <c r="E823" s="35"/>
    </row>
    <row r="824" spans="1:5" x14ac:dyDescent="0.25">
      <c r="A824" s="32"/>
      <c r="B824" s="32"/>
      <c r="C824" s="33"/>
      <c r="D824" s="34"/>
      <c r="E824" s="35"/>
    </row>
    <row r="825" spans="1:5" x14ac:dyDescent="0.25">
      <c r="A825" s="32"/>
      <c r="B825" s="32"/>
      <c r="C825" s="33"/>
      <c r="D825" s="34"/>
      <c r="E825" s="35"/>
    </row>
    <row r="826" spans="1:5" x14ac:dyDescent="0.25">
      <c r="A826" s="32"/>
      <c r="B826" s="32"/>
      <c r="C826" s="33"/>
      <c r="D826" s="34"/>
      <c r="E826" s="35"/>
    </row>
    <row r="827" spans="1:5" x14ac:dyDescent="0.25">
      <c r="A827" s="32"/>
      <c r="B827" s="32"/>
      <c r="C827" s="33"/>
      <c r="D827" s="34"/>
      <c r="E827" s="35"/>
    </row>
    <row r="828" spans="1:5" x14ac:dyDescent="0.25">
      <c r="A828" s="32"/>
      <c r="B828" s="32"/>
      <c r="C828" s="33"/>
      <c r="D828" s="34"/>
      <c r="E828" s="35"/>
    </row>
    <row r="829" spans="1:5" x14ac:dyDescent="0.25">
      <c r="A829" s="32"/>
      <c r="B829" s="32"/>
      <c r="C829" s="33"/>
      <c r="D829" s="34"/>
      <c r="E829" s="35"/>
    </row>
    <row r="830" spans="1:5" x14ac:dyDescent="0.25">
      <c r="A830" s="32"/>
      <c r="B830" s="32"/>
      <c r="C830" s="33"/>
      <c r="D830" s="34"/>
      <c r="E830" s="35"/>
    </row>
    <row r="831" spans="1:5" x14ac:dyDescent="0.25">
      <c r="A831" s="32"/>
      <c r="B831" s="32"/>
      <c r="C831" s="33"/>
      <c r="D831" s="34"/>
      <c r="E831" s="35"/>
    </row>
    <row r="832" spans="1:5" x14ac:dyDescent="0.25">
      <c r="A832" s="32"/>
      <c r="B832" s="32"/>
      <c r="C832" s="33"/>
      <c r="D832" s="34"/>
      <c r="E832" s="35"/>
    </row>
    <row r="833" spans="1:5" x14ac:dyDescent="0.25">
      <c r="A833" s="32"/>
      <c r="B833" s="32"/>
      <c r="C833" s="33"/>
      <c r="D833" s="34"/>
      <c r="E833" s="35"/>
    </row>
    <row r="834" spans="1:5" x14ac:dyDescent="0.25">
      <c r="A834" s="32"/>
      <c r="B834" s="32"/>
      <c r="C834" s="33"/>
      <c r="D834" s="34"/>
      <c r="E834" s="35"/>
    </row>
    <row r="835" spans="1:5" x14ac:dyDescent="0.25">
      <c r="A835" s="32"/>
      <c r="B835" s="32"/>
      <c r="C835" s="33"/>
      <c r="D835" s="34"/>
      <c r="E835" s="35"/>
    </row>
    <row r="836" spans="1:5" x14ac:dyDescent="0.25">
      <c r="A836" s="32"/>
      <c r="B836" s="32"/>
      <c r="C836" s="33"/>
      <c r="D836" s="34"/>
      <c r="E836" s="35"/>
    </row>
    <row r="837" spans="1:5" x14ac:dyDescent="0.25">
      <c r="A837" s="32"/>
      <c r="B837" s="32"/>
      <c r="C837" s="33"/>
      <c r="D837" s="34"/>
      <c r="E837" s="35"/>
    </row>
    <row r="838" spans="1:5" x14ac:dyDescent="0.25">
      <c r="A838" s="32"/>
      <c r="B838" s="32"/>
      <c r="C838" s="33"/>
      <c r="D838" s="34"/>
      <c r="E838" s="35"/>
    </row>
    <row r="839" spans="1:5" x14ac:dyDescent="0.25">
      <c r="A839" s="32"/>
      <c r="B839" s="32"/>
      <c r="C839" s="33"/>
      <c r="D839" s="34"/>
      <c r="E839" s="35"/>
    </row>
    <row r="840" spans="1:5" x14ac:dyDescent="0.25">
      <c r="A840" s="32"/>
      <c r="B840" s="32"/>
      <c r="C840" s="33"/>
      <c r="D840" s="34"/>
      <c r="E840" s="35"/>
    </row>
    <row r="841" spans="1:5" x14ac:dyDescent="0.25">
      <c r="A841" s="32"/>
      <c r="B841" s="32"/>
      <c r="C841" s="33"/>
      <c r="D841" s="34"/>
      <c r="E841" s="35"/>
    </row>
    <row r="842" spans="1:5" x14ac:dyDescent="0.25">
      <c r="A842" s="32"/>
      <c r="B842" s="32"/>
      <c r="C842" s="33"/>
      <c r="D842" s="34"/>
      <c r="E842" s="35"/>
    </row>
    <row r="843" spans="1:5" x14ac:dyDescent="0.25">
      <c r="A843" s="32"/>
      <c r="B843" s="32"/>
      <c r="C843" s="33"/>
      <c r="D843" s="34"/>
      <c r="E843" s="35"/>
    </row>
    <row r="844" spans="1:5" x14ac:dyDescent="0.25">
      <c r="A844" s="32"/>
      <c r="B844" s="32"/>
      <c r="C844" s="33"/>
      <c r="D844" s="34"/>
      <c r="E844" s="35"/>
    </row>
    <row r="845" spans="1:5" x14ac:dyDescent="0.25">
      <c r="A845" s="32"/>
      <c r="B845" s="32"/>
      <c r="C845" s="33"/>
      <c r="D845" s="34"/>
      <c r="E845" s="35"/>
    </row>
    <row r="846" spans="1:5" x14ac:dyDescent="0.25">
      <c r="A846" s="32"/>
      <c r="B846" s="32"/>
      <c r="C846" s="33"/>
      <c r="D846" s="34"/>
      <c r="E846" s="35"/>
    </row>
    <row r="847" spans="1:5" x14ac:dyDescent="0.25">
      <c r="A847" s="32"/>
      <c r="B847" s="32"/>
      <c r="C847" s="33"/>
      <c r="D847" s="34"/>
      <c r="E847" s="35"/>
    </row>
    <row r="848" spans="1:5" x14ac:dyDescent="0.25">
      <c r="A848" s="32"/>
      <c r="B848" s="32"/>
      <c r="C848" s="33"/>
      <c r="D848" s="34"/>
      <c r="E848" s="35"/>
    </row>
    <row r="849" spans="1:5" x14ac:dyDescent="0.25">
      <c r="A849" s="32"/>
      <c r="B849" s="32"/>
      <c r="C849" s="33"/>
      <c r="D849" s="34"/>
      <c r="E849" s="35"/>
    </row>
    <row r="850" spans="1:5" x14ac:dyDescent="0.25">
      <c r="A850" s="32"/>
      <c r="B850" s="32"/>
      <c r="C850" s="33"/>
      <c r="D850" s="34"/>
      <c r="E850" s="35"/>
    </row>
    <row r="851" spans="1:5" x14ac:dyDescent="0.25">
      <c r="A851" s="32"/>
      <c r="B851" s="32"/>
      <c r="C851" s="33"/>
      <c r="D851" s="34"/>
      <c r="E851" s="35"/>
    </row>
    <row r="852" spans="1:5" x14ac:dyDescent="0.25">
      <c r="A852" s="32"/>
      <c r="B852" s="32"/>
      <c r="C852" s="33"/>
      <c r="D852" s="34"/>
      <c r="E852" s="35"/>
    </row>
    <row r="853" spans="1:5" x14ac:dyDescent="0.25">
      <c r="A853" s="32"/>
      <c r="B853" s="32"/>
      <c r="C853" s="33"/>
      <c r="D853" s="34"/>
      <c r="E853" s="35"/>
    </row>
    <row r="854" spans="1:5" x14ac:dyDescent="0.25">
      <c r="A854" s="32"/>
      <c r="B854" s="32"/>
      <c r="C854" s="33"/>
      <c r="D854" s="34"/>
      <c r="E854" s="35"/>
    </row>
    <row r="855" spans="1:5" x14ac:dyDescent="0.25">
      <c r="A855" s="32"/>
      <c r="B855" s="32"/>
      <c r="C855" s="33"/>
      <c r="D855" s="34"/>
      <c r="E855" s="35"/>
    </row>
    <row r="856" spans="1:5" x14ac:dyDescent="0.25">
      <c r="A856" s="32"/>
      <c r="B856" s="32"/>
      <c r="C856" s="33"/>
      <c r="D856" s="34"/>
      <c r="E856" s="35"/>
    </row>
    <row r="857" spans="1:5" x14ac:dyDescent="0.25">
      <c r="A857" s="32"/>
      <c r="B857" s="32"/>
      <c r="C857" s="33"/>
      <c r="D857" s="34"/>
      <c r="E857" s="35"/>
    </row>
    <row r="858" spans="1:5" x14ac:dyDescent="0.25">
      <c r="A858" s="32"/>
      <c r="B858" s="32"/>
      <c r="C858" s="33"/>
      <c r="D858" s="34"/>
      <c r="E858" s="35"/>
    </row>
    <row r="859" spans="1:5" x14ac:dyDescent="0.25">
      <c r="A859" s="32"/>
      <c r="B859" s="32"/>
      <c r="C859" s="33"/>
      <c r="D859" s="34"/>
      <c r="E859" s="35"/>
    </row>
    <row r="860" spans="1:5" x14ac:dyDescent="0.25">
      <c r="A860" s="32"/>
      <c r="B860" s="32"/>
      <c r="C860" s="33"/>
      <c r="D860" s="34"/>
      <c r="E860" s="35"/>
    </row>
    <row r="861" spans="1:5" x14ac:dyDescent="0.25">
      <c r="A861" s="32"/>
      <c r="B861" s="32"/>
      <c r="C861" s="33"/>
      <c r="D861" s="34"/>
      <c r="E861" s="35"/>
    </row>
    <row r="862" spans="1:5" x14ac:dyDescent="0.25">
      <c r="A862" s="32"/>
      <c r="B862" s="32"/>
      <c r="C862" s="33"/>
      <c r="D862" s="34"/>
      <c r="E862" s="35"/>
    </row>
    <row r="863" spans="1:5" x14ac:dyDescent="0.25">
      <c r="A863" s="32"/>
      <c r="B863" s="32"/>
      <c r="C863" s="33"/>
      <c r="D863" s="34"/>
      <c r="E863" s="35"/>
    </row>
    <row r="864" spans="1:5" x14ac:dyDescent="0.25">
      <c r="A864" s="32"/>
      <c r="B864" s="32"/>
      <c r="C864" s="33"/>
      <c r="D864" s="34"/>
      <c r="E864" s="35"/>
    </row>
    <row r="865" spans="1:5" x14ac:dyDescent="0.25">
      <c r="A865" s="32"/>
      <c r="B865" s="32"/>
      <c r="C865" s="33"/>
      <c r="D865" s="34"/>
      <c r="E865" s="35"/>
    </row>
    <row r="866" spans="1:5" x14ac:dyDescent="0.25">
      <c r="A866" s="32"/>
      <c r="B866" s="32"/>
      <c r="C866" s="33"/>
      <c r="D866" s="34"/>
      <c r="E866" s="35"/>
    </row>
    <row r="867" spans="1:5" x14ac:dyDescent="0.25">
      <c r="A867" s="32"/>
      <c r="B867" s="32"/>
      <c r="C867" s="33"/>
      <c r="D867" s="34"/>
      <c r="E867" s="35"/>
    </row>
    <row r="868" spans="1:5" x14ac:dyDescent="0.25">
      <c r="A868" s="32"/>
      <c r="B868" s="32"/>
      <c r="C868" s="33"/>
      <c r="D868" s="34"/>
      <c r="E868" s="35"/>
    </row>
    <row r="869" spans="1:5" x14ac:dyDescent="0.25">
      <c r="A869" s="32"/>
      <c r="B869" s="32"/>
      <c r="C869" s="33"/>
      <c r="D869" s="34"/>
      <c r="E869" s="35"/>
    </row>
    <row r="870" spans="1:5" x14ac:dyDescent="0.25">
      <c r="A870" s="32"/>
      <c r="B870" s="32"/>
      <c r="C870" s="33"/>
      <c r="D870" s="34"/>
      <c r="E870" s="35"/>
    </row>
    <row r="871" spans="1:5" x14ac:dyDescent="0.25">
      <c r="A871" s="32"/>
      <c r="B871" s="32"/>
      <c r="C871" s="33"/>
      <c r="D871" s="34"/>
      <c r="E871" s="35"/>
    </row>
    <row r="872" spans="1:5" x14ac:dyDescent="0.25">
      <c r="A872" s="32"/>
      <c r="B872" s="32"/>
      <c r="C872" s="33"/>
      <c r="D872" s="34"/>
      <c r="E872" s="35"/>
    </row>
    <row r="873" spans="1:5" x14ac:dyDescent="0.25">
      <c r="A873" s="32"/>
      <c r="B873" s="32"/>
      <c r="C873" s="33"/>
      <c r="D873" s="34"/>
      <c r="E873" s="35"/>
    </row>
    <row r="874" spans="1:5" x14ac:dyDescent="0.25">
      <c r="A874" s="32"/>
      <c r="B874" s="32"/>
      <c r="C874" s="33"/>
      <c r="D874" s="34"/>
      <c r="E874" s="35"/>
    </row>
    <row r="875" spans="1:5" x14ac:dyDescent="0.25">
      <c r="A875" s="32"/>
      <c r="B875" s="32"/>
      <c r="C875" s="33"/>
      <c r="D875" s="34"/>
      <c r="E875" s="35"/>
    </row>
    <row r="876" spans="1:5" x14ac:dyDescent="0.25">
      <c r="A876" s="32"/>
      <c r="B876" s="32"/>
      <c r="C876" s="33"/>
      <c r="D876" s="34"/>
      <c r="E876" s="35"/>
    </row>
    <row r="877" spans="1:5" x14ac:dyDescent="0.25">
      <c r="A877" s="32"/>
      <c r="B877" s="32"/>
      <c r="C877" s="33"/>
      <c r="D877" s="34"/>
      <c r="E877" s="35"/>
    </row>
    <row r="878" spans="1:5" x14ac:dyDescent="0.25">
      <c r="A878" s="32"/>
      <c r="B878" s="32"/>
      <c r="C878" s="33"/>
      <c r="D878" s="34"/>
      <c r="E878" s="35"/>
    </row>
    <row r="879" spans="1:5" x14ac:dyDescent="0.25">
      <c r="A879" s="32"/>
      <c r="B879" s="32"/>
      <c r="C879" s="33"/>
      <c r="D879" s="34"/>
      <c r="E879" s="35"/>
    </row>
    <row r="880" spans="1:5" x14ac:dyDescent="0.25">
      <c r="A880" s="32"/>
      <c r="B880" s="32"/>
      <c r="C880" s="33"/>
      <c r="D880" s="34"/>
      <c r="E880" s="35"/>
    </row>
    <row r="881" spans="1:5" x14ac:dyDescent="0.25">
      <c r="A881" s="32"/>
      <c r="B881" s="32"/>
      <c r="C881" s="33"/>
      <c r="D881" s="34"/>
      <c r="E881" s="35"/>
    </row>
    <row r="882" spans="1:5" x14ac:dyDescent="0.25">
      <c r="A882" s="32"/>
      <c r="B882" s="32"/>
      <c r="C882" s="33"/>
      <c r="D882" s="34"/>
      <c r="E882" s="35"/>
    </row>
    <row r="883" spans="1:5" x14ac:dyDescent="0.25">
      <c r="A883" s="32"/>
      <c r="B883" s="32"/>
      <c r="C883" s="33"/>
      <c r="D883" s="34"/>
      <c r="E883" s="35"/>
    </row>
    <row r="884" spans="1:5" x14ac:dyDescent="0.25">
      <c r="A884" s="32"/>
      <c r="B884" s="32"/>
      <c r="C884" s="33"/>
      <c r="D884" s="34"/>
      <c r="E884" s="35"/>
    </row>
    <row r="885" spans="1:5" x14ac:dyDescent="0.25">
      <c r="A885" s="32"/>
      <c r="B885" s="32"/>
      <c r="C885" s="33"/>
      <c r="D885" s="34"/>
      <c r="E885" s="35"/>
    </row>
    <row r="886" spans="1:5" x14ac:dyDescent="0.25">
      <c r="A886" s="32"/>
      <c r="B886" s="32"/>
      <c r="C886" s="33"/>
      <c r="D886" s="34"/>
      <c r="E886" s="35"/>
    </row>
    <row r="887" spans="1:5" x14ac:dyDescent="0.25">
      <c r="A887" s="32"/>
      <c r="B887" s="32"/>
      <c r="C887" s="33"/>
      <c r="D887" s="34"/>
      <c r="E887" s="35"/>
    </row>
    <row r="888" spans="1:5" x14ac:dyDescent="0.25">
      <c r="A888" s="32"/>
      <c r="B888" s="32"/>
      <c r="C888" s="33"/>
      <c r="D888" s="34"/>
      <c r="E888" s="35"/>
    </row>
    <row r="889" spans="1:5" x14ac:dyDescent="0.25">
      <c r="A889" s="32"/>
      <c r="B889" s="32"/>
      <c r="C889" s="33"/>
      <c r="D889" s="34"/>
      <c r="E889" s="35"/>
    </row>
    <row r="890" spans="1:5" x14ac:dyDescent="0.25">
      <c r="A890" s="32"/>
      <c r="B890" s="32"/>
      <c r="C890" s="33"/>
      <c r="D890" s="34"/>
      <c r="E890" s="35"/>
    </row>
    <row r="891" spans="1:5" x14ac:dyDescent="0.25">
      <c r="A891" s="32"/>
      <c r="B891" s="32"/>
      <c r="C891" s="33"/>
      <c r="D891" s="34"/>
      <c r="E891" s="35"/>
    </row>
    <row r="892" spans="1:5" x14ac:dyDescent="0.25">
      <c r="A892" s="32"/>
      <c r="B892" s="32"/>
      <c r="C892" s="33"/>
      <c r="D892" s="34"/>
      <c r="E892" s="35"/>
    </row>
    <row r="893" spans="1:5" x14ac:dyDescent="0.25">
      <c r="A893" s="32"/>
      <c r="B893" s="32"/>
      <c r="C893" s="33"/>
      <c r="D893" s="34"/>
      <c r="E893" s="35"/>
    </row>
    <row r="894" spans="1:5" x14ac:dyDescent="0.25">
      <c r="A894" s="32"/>
      <c r="B894" s="32"/>
      <c r="C894" s="33"/>
      <c r="D894" s="34"/>
      <c r="E894" s="35"/>
    </row>
    <row r="895" spans="1:5" x14ac:dyDescent="0.25">
      <c r="A895" s="32"/>
      <c r="B895" s="32"/>
      <c r="C895" s="33"/>
      <c r="D895" s="34"/>
      <c r="E895" s="35"/>
    </row>
    <row r="896" spans="1:5" x14ac:dyDescent="0.25">
      <c r="A896" s="32"/>
      <c r="B896" s="32"/>
      <c r="C896" s="33"/>
      <c r="D896" s="34"/>
      <c r="E896" s="35"/>
    </row>
    <row r="897" spans="1:5" x14ac:dyDescent="0.25">
      <c r="A897" s="32"/>
      <c r="B897" s="32"/>
      <c r="C897" s="33"/>
      <c r="D897" s="34"/>
      <c r="E897" s="35"/>
    </row>
    <row r="898" spans="1:5" x14ac:dyDescent="0.25">
      <c r="A898" s="32"/>
      <c r="B898" s="32"/>
      <c r="C898" s="33"/>
      <c r="D898" s="34"/>
      <c r="E898" s="35"/>
    </row>
    <row r="899" spans="1:5" x14ac:dyDescent="0.25">
      <c r="A899" s="32"/>
      <c r="B899" s="32"/>
      <c r="C899" s="33"/>
      <c r="D899" s="34"/>
      <c r="E899" s="35"/>
    </row>
    <row r="900" spans="1:5" x14ac:dyDescent="0.25">
      <c r="A900" s="32"/>
      <c r="B900" s="32"/>
      <c r="C900" s="33"/>
      <c r="D900" s="34"/>
      <c r="E900" s="35"/>
    </row>
    <row r="901" spans="1:5" x14ac:dyDescent="0.25">
      <c r="A901" s="32"/>
      <c r="B901" s="32"/>
      <c r="C901" s="33"/>
      <c r="D901" s="34"/>
      <c r="E901" s="35"/>
    </row>
    <row r="902" spans="1:5" x14ac:dyDescent="0.25">
      <c r="A902" s="32"/>
      <c r="B902" s="32"/>
      <c r="C902" s="33"/>
      <c r="D902" s="34"/>
      <c r="E902" s="35"/>
    </row>
    <row r="903" spans="1:5" x14ac:dyDescent="0.25">
      <c r="A903" s="32"/>
      <c r="B903" s="32"/>
      <c r="C903" s="33"/>
      <c r="D903" s="34"/>
      <c r="E903" s="35"/>
    </row>
    <row r="904" spans="1:5" x14ac:dyDescent="0.25">
      <c r="A904" s="32"/>
      <c r="B904" s="32"/>
      <c r="C904" s="33"/>
      <c r="D904" s="34"/>
      <c r="E904" s="35"/>
    </row>
    <row r="905" spans="1:5" x14ac:dyDescent="0.25">
      <c r="A905" s="32"/>
      <c r="B905" s="32"/>
      <c r="C905" s="33"/>
      <c r="D905" s="34"/>
      <c r="E905" s="35"/>
    </row>
    <row r="906" spans="1:5" x14ac:dyDescent="0.25">
      <c r="A906" s="32"/>
      <c r="B906" s="32"/>
      <c r="C906" s="33"/>
      <c r="D906" s="34"/>
      <c r="E906" s="35"/>
    </row>
    <row r="907" spans="1:5" x14ac:dyDescent="0.25">
      <c r="A907" s="32"/>
      <c r="B907" s="32"/>
      <c r="C907" s="33"/>
      <c r="D907" s="34"/>
      <c r="E907" s="35"/>
    </row>
    <row r="908" spans="1:5" x14ac:dyDescent="0.25">
      <c r="A908" s="32"/>
      <c r="B908" s="32"/>
      <c r="C908" s="33"/>
      <c r="D908" s="34"/>
      <c r="E908" s="35"/>
    </row>
    <row r="909" spans="1:5" x14ac:dyDescent="0.25">
      <c r="A909" s="32"/>
      <c r="B909" s="32"/>
      <c r="C909" s="33"/>
      <c r="D909" s="34"/>
      <c r="E909" s="35"/>
    </row>
    <row r="910" spans="1:5" x14ac:dyDescent="0.25">
      <c r="A910" s="32"/>
      <c r="B910" s="32"/>
      <c r="C910" s="33"/>
      <c r="D910" s="34"/>
      <c r="E910" s="35"/>
    </row>
    <row r="911" spans="1:5" x14ac:dyDescent="0.25">
      <c r="A911" s="32"/>
      <c r="B911" s="32"/>
      <c r="C911" s="33"/>
      <c r="D911" s="34"/>
      <c r="E911" s="35"/>
    </row>
    <row r="912" spans="1:5" x14ac:dyDescent="0.25">
      <c r="A912" s="32"/>
      <c r="B912" s="32"/>
      <c r="C912" s="33"/>
      <c r="D912" s="34"/>
      <c r="E912" s="35"/>
    </row>
    <row r="913" spans="1:5" x14ac:dyDescent="0.25">
      <c r="A913" s="32"/>
      <c r="B913" s="32"/>
      <c r="C913" s="33"/>
      <c r="D913" s="34"/>
      <c r="E913" s="35"/>
    </row>
    <row r="914" spans="1:5" x14ac:dyDescent="0.25">
      <c r="A914" s="32"/>
      <c r="B914" s="32"/>
      <c r="C914" s="33"/>
      <c r="D914" s="34"/>
      <c r="E914" s="35"/>
    </row>
    <row r="915" spans="1:5" x14ac:dyDescent="0.25">
      <c r="A915" s="32"/>
      <c r="B915" s="32"/>
      <c r="C915" s="33"/>
      <c r="D915" s="34"/>
      <c r="E915" s="35"/>
    </row>
    <row r="916" spans="1:5" x14ac:dyDescent="0.25">
      <c r="A916" s="32"/>
      <c r="B916" s="32"/>
      <c r="C916" s="33"/>
      <c r="D916" s="34"/>
      <c r="E916" s="35"/>
    </row>
    <row r="917" spans="1:5" x14ac:dyDescent="0.25">
      <c r="A917" s="32"/>
      <c r="B917" s="32"/>
      <c r="C917" s="33"/>
      <c r="D917" s="34"/>
      <c r="E917" s="35"/>
    </row>
    <row r="918" spans="1:5" x14ac:dyDescent="0.25">
      <c r="A918" s="32"/>
      <c r="B918" s="32"/>
      <c r="C918" s="33"/>
      <c r="D918" s="34"/>
      <c r="E918" s="35"/>
    </row>
    <row r="919" spans="1:5" x14ac:dyDescent="0.25">
      <c r="A919" s="32"/>
      <c r="B919" s="32"/>
      <c r="C919" s="33"/>
      <c r="D919" s="34"/>
      <c r="E919" s="35"/>
    </row>
    <row r="920" spans="1:5" x14ac:dyDescent="0.25">
      <c r="A920" s="32"/>
      <c r="B920" s="32"/>
      <c r="C920" s="33"/>
      <c r="D920" s="34"/>
      <c r="E920" s="35"/>
    </row>
    <row r="921" spans="1:5" x14ac:dyDescent="0.25">
      <c r="A921" s="32"/>
      <c r="B921" s="32"/>
      <c r="C921" s="33"/>
      <c r="D921" s="34"/>
      <c r="E921" s="35"/>
    </row>
    <row r="922" spans="1:5" x14ac:dyDescent="0.25">
      <c r="A922" s="32"/>
      <c r="B922" s="32"/>
      <c r="C922" s="33"/>
      <c r="D922" s="34"/>
      <c r="E922" s="35"/>
    </row>
    <row r="923" spans="1:5" x14ac:dyDescent="0.25">
      <c r="A923" s="32"/>
      <c r="B923" s="32"/>
      <c r="C923" s="33"/>
      <c r="D923" s="34"/>
      <c r="E923" s="35"/>
    </row>
    <row r="924" spans="1:5" x14ac:dyDescent="0.25">
      <c r="A924" s="32"/>
      <c r="B924" s="32"/>
      <c r="C924" s="33"/>
      <c r="D924" s="34"/>
      <c r="E924" s="35"/>
    </row>
    <row r="925" spans="1:5" x14ac:dyDescent="0.25">
      <c r="A925" s="32"/>
      <c r="B925" s="32"/>
      <c r="C925" s="33"/>
      <c r="D925" s="34"/>
      <c r="E925" s="35"/>
    </row>
    <row r="926" spans="1:5" x14ac:dyDescent="0.25">
      <c r="A926" s="32"/>
      <c r="B926" s="32"/>
      <c r="C926" s="33"/>
      <c r="D926" s="34"/>
      <c r="E926" s="35"/>
    </row>
    <row r="927" spans="1:5" x14ac:dyDescent="0.25">
      <c r="A927" s="32"/>
      <c r="B927" s="32"/>
      <c r="C927" s="33"/>
      <c r="D927" s="34"/>
      <c r="E927" s="35"/>
    </row>
    <row r="928" spans="1:5" x14ac:dyDescent="0.25">
      <c r="A928" s="32"/>
      <c r="B928" s="32"/>
      <c r="C928" s="33"/>
      <c r="D928" s="34"/>
      <c r="E928" s="35"/>
    </row>
    <row r="929" spans="1:5" x14ac:dyDescent="0.25">
      <c r="A929" s="32"/>
      <c r="B929" s="32"/>
      <c r="C929" s="33"/>
      <c r="D929" s="34"/>
      <c r="E929" s="35"/>
    </row>
    <row r="930" spans="1:5" x14ac:dyDescent="0.25">
      <c r="A930" s="32"/>
      <c r="B930" s="32"/>
      <c r="C930" s="33"/>
      <c r="D930" s="34"/>
      <c r="E930" s="35"/>
    </row>
    <row r="931" spans="1:5" x14ac:dyDescent="0.25">
      <c r="A931" s="32"/>
      <c r="B931" s="32"/>
      <c r="C931" s="33"/>
      <c r="D931" s="34"/>
      <c r="E931" s="35"/>
    </row>
    <row r="932" spans="1:5" x14ac:dyDescent="0.25">
      <c r="A932" s="32"/>
      <c r="B932" s="32"/>
      <c r="C932" s="33"/>
      <c r="D932" s="34"/>
      <c r="E932" s="35"/>
    </row>
    <row r="933" spans="1:5" x14ac:dyDescent="0.25">
      <c r="A933" s="32"/>
      <c r="B933" s="32"/>
      <c r="C933" s="33"/>
      <c r="D933" s="34"/>
      <c r="E933" s="35"/>
    </row>
    <row r="934" spans="1:5" x14ac:dyDescent="0.25">
      <c r="A934" s="32"/>
      <c r="B934" s="32"/>
      <c r="C934" s="33"/>
      <c r="D934" s="34"/>
      <c r="E934" s="35"/>
    </row>
    <row r="935" spans="1:5" x14ac:dyDescent="0.25">
      <c r="A935" s="32"/>
      <c r="B935" s="32"/>
      <c r="C935" s="33"/>
      <c r="D935" s="34"/>
      <c r="E935" s="35"/>
    </row>
    <row r="936" spans="1:5" x14ac:dyDescent="0.25">
      <c r="A936" s="32"/>
      <c r="B936" s="32"/>
      <c r="C936" s="33"/>
      <c r="D936" s="34"/>
      <c r="E936" s="35"/>
    </row>
    <row r="937" spans="1:5" x14ac:dyDescent="0.25">
      <c r="A937" s="32"/>
      <c r="B937" s="32"/>
      <c r="C937" s="33"/>
      <c r="D937" s="34"/>
      <c r="E937" s="35"/>
    </row>
    <row r="938" spans="1:5" x14ac:dyDescent="0.25">
      <c r="A938" s="32"/>
      <c r="B938" s="32"/>
      <c r="C938" s="33"/>
      <c r="D938" s="34"/>
      <c r="E938" s="35"/>
    </row>
    <row r="939" spans="1:5" x14ac:dyDescent="0.25">
      <c r="A939" s="32"/>
      <c r="B939" s="32"/>
      <c r="C939" s="33"/>
      <c r="D939" s="34"/>
      <c r="E939" s="35"/>
    </row>
    <row r="940" spans="1:5" x14ac:dyDescent="0.25">
      <c r="A940" s="32"/>
      <c r="B940" s="32"/>
      <c r="C940" s="33"/>
      <c r="D940" s="34"/>
      <c r="E940" s="35"/>
    </row>
    <row r="941" spans="1:5" x14ac:dyDescent="0.25">
      <c r="A941" s="32"/>
      <c r="B941" s="32"/>
      <c r="C941" s="33"/>
      <c r="D941" s="34"/>
      <c r="E941" s="35"/>
    </row>
    <row r="942" spans="1:5" x14ac:dyDescent="0.25">
      <c r="A942" s="32"/>
      <c r="B942" s="32"/>
      <c r="C942" s="33"/>
      <c r="D942" s="34"/>
      <c r="E942" s="35"/>
    </row>
    <row r="943" spans="1:5" x14ac:dyDescent="0.25">
      <c r="A943" s="32"/>
      <c r="B943" s="32"/>
      <c r="C943" s="33"/>
      <c r="D943" s="34"/>
      <c r="E943" s="35"/>
    </row>
    <row r="944" spans="1:5" x14ac:dyDescent="0.25">
      <c r="A944" s="32"/>
      <c r="B944" s="32"/>
      <c r="C944" s="33"/>
      <c r="D944" s="34"/>
      <c r="E944" s="35"/>
    </row>
    <row r="945" spans="1:5" x14ac:dyDescent="0.25">
      <c r="A945" s="32"/>
      <c r="B945" s="32"/>
      <c r="C945" s="33"/>
      <c r="D945" s="34"/>
      <c r="E945" s="35"/>
    </row>
    <row r="946" spans="1:5" x14ac:dyDescent="0.25">
      <c r="A946" s="32"/>
      <c r="B946" s="32"/>
      <c r="C946" s="33"/>
      <c r="D946" s="34"/>
      <c r="E946" s="35"/>
    </row>
    <row r="947" spans="1:5" x14ac:dyDescent="0.25">
      <c r="A947" s="32"/>
      <c r="B947" s="32"/>
      <c r="C947" s="33"/>
      <c r="D947" s="34"/>
      <c r="E947" s="35"/>
    </row>
    <row r="948" spans="1:5" x14ac:dyDescent="0.25">
      <c r="A948" s="32"/>
      <c r="B948" s="32"/>
      <c r="C948" s="33"/>
      <c r="D948" s="34"/>
      <c r="E948" s="35"/>
    </row>
    <row r="949" spans="1:5" x14ac:dyDescent="0.25">
      <c r="A949" s="32"/>
      <c r="B949" s="32"/>
      <c r="C949" s="33"/>
      <c r="D949" s="34"/>
      <c r="E949" s="35"/>
    </row>
    <row r="950" spans="1:5" x14ac:dyDescent="0.25">
      <c r="A950" s="32"/>
      <c r="B950" s="32"/>
      <c r="C950" s="33"/>
      <c r="D950" s="34"/>
      <c r="E950" s="35"/>
    </row>
    <row r="951" spans="1:5" x14ac:dyDescent="0.25">
      <c r="A951" s="32"/>
      <c r="B951" s="32"/>
      <c r="C951" s="33"/>
      <c r="D951" s="34"/>
      <c r="E951" s="35"/>
    </row>
    <row r="952" spans="1:5" x14ac:dyDescent="0.25">
      <c r="A952" s="32"/>
      <c r="B952" s="32"/>
      <c r="C952" s="33"/>
      <c r="D952" s="34"/>
      <c r="E952" s="35"/>
    </row>
    <row r="953" spans="1:5" x14ac:dyDescent="0.25">
      <c r="A953" s="32"/>
      <c r="B953" s="32"/>
      <c r="C953" s="33"/>
      <c r="D953" s="34"/>
      <c r="E953" s="35"/>
    </row>
    <row r="954" spans="1:5" x14ac:dyDescent="0.25">
      <c r="A954" s="32"/>
      <c r="B954" s="32"/>
      <c r="C954" s="33"/>
      <c r="D954" s="34"/>
      <c r="E954" s="35"/>
    </row>
    <row r="955" spans="1:5" x14ac:dyDescent="0.25">
      <c r="A955" s="32"/>
      <c r="B955" s="32"/>
      <c r="C955" s="33"/>
      <c r="D955" s="34"/>
      <c r="E955" s="35"/>
    </row>
    <row r="956" spans="1:5" x14ac:dyDescent="0.25">
      <c r="A956" s="32"/>
      <c r="B956" s="32"/>
      <c r="C956" s="33"/>
      <c r="D956" s="34"/>
      <c r="E956" s="35"/>
    </row>
    <row r="957" spans="1:5" x14ac:dyDescent="0.25">
      <c r="A957" s="32"/>
      <c r="B957" s="32"/>
      <c r="C957" s="33"/>
      <c r="D957" s="34"/>
      <c r="E957" s="35"/>
    </row>
    <row r="958" spans="1:5" x14ac:dyDescent="0.25">
      <c r="A958" s="32"/>
      <c r="B958" s="32"/>
      <c r="C958" s="33"/>
      <c r="D958" s="34"/>
      <c r="E958" s="35"/>
    </row>
    <row r="959" spans="1:5" x14ac:dyDescent="0.25">
      <c r="A959" s="32"/>
      <c r="B959" s="32"/>
      <c r="C959" s="33"/>
      <c r="D959" s="34"/>
      <c r="E959" s="35"/>
    </row>
    <row r="960" spans="1:5" x14ac:dyDescent="0.25">
      <c r="A960" s="32"/>
      <c r="B960" s="32"/>
      <c r="C960" s="33"/>
      <c r="D960" s="34"/>
      <c r="E960" s="35"/>
    </row>
    <row r="961" spans="1:5" x14ac:dyDescent="0.25">
      <c r="A961" s="32"/>
      <c r="B961" s="32"/>
      <c r="C961" s="33"/>
      <c r="D961" s="34"/>
      <c r="E961" s="35"/>
    </row>
    <row r="962" spans="1:5" x14ac:dyDescent="0.25">
      <c r="A962" s="32"/>
      <c r="B962" s="32"/>
      <c r="C962" s="33"/>
      <c r="D962" s="34"/>
      <c r="E962" s="35"/>
    </row>
    <row r="963" spans="1:5" x14ac:dyDescent="0.25">
      <c r="A963" s="32"/>
      <c r="B963" s="32"/>
      <c r="C963" s="33"/>
      <c r="D963" s="34"/>
      <c r="E963" s="35"/>
    </row>
    <row r="964" spans="1:5" x14ac:dyDescent="0.25">
      <c r="A964" s="32"/>
      <c r="B964" s="32"/>
      <c r="C964" s="33"/>
      <c r="D964" s="34"/>
      <c r="E964" s="35"/>
    </row>
    <row r="965" spans="1:5" x14ac:dyDescent="0.25">
      <c r="A965" s="32"/>
      <c r="B965" s="32"/>
      <c r="C965" s="33"/>
      <c r="D965" s="34"/>
      <c r="E965" s="35"/>
    </row>
    <row r="966" spans="1:5" x14ac:dyDescent="0.25">
      <c r="A966" s="32"/>
      <c r="B966" s="32"/>
      <c r="C966" s="33"/>
      <c r="D966" s="34"/>
      <c r="E966" s="35"/>
    </row>
    <row r="967" spans="1:5" x14ac:dyDescent="0.25">
      <c r="A967" s="32"/>
      <c r="B967" s="32"/>
      <c r="C967" s="33"/>
      <c r="D967" s="34"/>
      <c r="E967" s="35"/>
    </row>
    <row r="968" spans="1:5" x14ac:dyDescent="0.25">
      <c r="A968" s="32"/>
      <c r="B968" s="32"/>
      <c r="C968" s="33"/>
      <c r="D968" s="34"/>
      <c r="E968" s="35"/>
    </row>
    <row r="969" spans="1:5" x14ac:dyDescent="0.25">
      <c r="A969" s="32"/>
      <c r="B969" s="32"/>
      <c r="C969" s="33"/>
      <c r="D969" s="34"/>
      <c r="E969" s="35"/>
    </row>
    <row r="970" spans="1:5" x14ac:dyDescent="0.25">
      <c r="A970" s="32"/>
      <c r="B970" s="32"/>
      <c r="C970" s="33"/>
      <c r="D970" s="34"/>
      <c r="E970" s="35"/>
    </row>
    <row r="971" spans="1:5" x14ac:dyDescent="0.25">
      <c r="A971" s="32"/>
      <c r="B971" s="32"/>
      <c r="C971" s="33"/>
      <c r="D971" s="34"/>
      <c r="E971" s="35"/>
    </row>
    <row r="972" spans="1:5" x14ac:dyDescent="0.25">
      <c r="A972" s="32"/>
      <c r="B972" s="32"/>
      <c r="C972" s="33"/>
      <c r="D972" s="34"/>
      <c r="E972" s="35"/>
    </row>
    <row r="973" spans="1:5" x14ac:dyDescent="0.25">
      <c r="A973" s="32"/>
      <c r="B973" s="32"/>
      <c r="C973" s="33"/>
      <c r="D973" s="34"/>
      <c r="E973" s="35"/>
    </row>
    <row r="974" spans="1:5" x14ac:dyDescent="0.25">
      <c r="A974" s="32"/>
      <c r="B974" s="32"/>
      <c r="C974" s="33"/>
      <c r="D974" s="34"/>
      <c r="E974" s="35"/>
    </row>
    <row r="975" spans="1:5" x14ac:dyDescent="0.25">
      <c r="A975" s="32"/>
      <c r="B975" s="32"/>
      <c r="C975" s="33"/>
      <c r="D975" s="34"/>
      <c r="E975" s="35"/>
    </row>
    <row r="976" spans="1:5" x14ac:dyDescent="0.25">
      <c r="A976" s="32"/>
      <c r="B976" s="32"/>
      <c r="C976" s="33"/>
      <c r="D976" s="34"/>
      <c r="E976" s="35"/>
    </row>
    <row r="977" spans="1:5" x14ac:dyDescent="0.25">
      <c r="A977" s="32"/>
      <c r="B977" s="32"/>
      <c r="C977" s="33"/>
      <c r="D977" s="34"/>
      <c r="E977" s="35"/>
    </row>
    <row r="978" spans="1:5" x14ac:dyDescent="0.25">
      <c r="A978" s="32"/>
      <c r="B978" s="32"/>
      <c r="C978" s="33"/>
      <c r="D978" s="34"/>
      <c r="E978" s="35"/>
    </row>
    <row r="979" spans="1:5" x14ac:dyDescent="0.25">
      <c r="A979" s="32"/>
      <c r="B979" s="32"/>
      <c r="C979" s="33"/>
      <c r="D979" s="34"/>
      <c r="E979" s="35"/>
    </row>
    <row r="980" spans="1:5" x14ac:dyDescent="0.25">
      <c r="A980" s="32"/>
      <c r="B980" s="32"/>
      <c r="C980" s="33"/>
      <c r="D980" s="34"/>
      <c r="E980" s="35"/>
    </row>
    <row r="981" spans="1:5" x14ac:dyDescent="0.25">
      <c r="A981" s="32"/>
      <c r="B981" s="32"/>
      <c r="C981" s="33"/>
      <c r="D981" s="34"/>
      <c r="E981" s="35"/>
    </row>
    <row r="982" spans="1:5" x14ac:dyDescent="0.25">
      <c r="A982" s="32"/>
      <c r="B982" s="32"/>
      <c r="C982" s="33"/>
      <c r="D982" s="34"/>
      <c r="E982" s="35"/>
    </row>
    <row r="983" spans="1:5" x14ac:dyDescent="0.25">
      <c r="A983" s="32"/>
      <c r="B983" s="32"/>
      <c r="C983" s="33"/>
      <c r="D983" s="34"/>
      <c r="E983" s="35"/>
    </row>
    <row r="984" spans="1:5" x14ac:dyDescent="0.25">
      <c r="A984" s="32"/>
      <c r="B984" s="32"/>
      <c r="C984" s="33"/>
      <c r="D984" s="34"/>
      <c r="E984" s="35"/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selection activeCell="D36" sqref="D36"/>
    </sheetView>
  </sheetViews>
  <sheetFormatPr baseColWidth="10" defaultRowHeight="15" x14ac:dyDescent="0.25"/>
  <cols>
    <col min="1" max="2" width="10.42578125" bestFit="1" customWidth="1"/>
    <col min="3" max="3" width="8.42578125" bestFit="1" customWidth="1"/>
    <col min="4" max="7" width="11" bestFit="1" customWidth="1"/>
  </cols>
  <sheetData>
    <row r="1" spans="1:7" ht="45" x14ac:dyDescent="0.25">
      <c r="A1" s="119"/>
      <c r="B1" s="119"/>
      <c r="C1" s="10"/>
      <c r="D1" s="8" t="s">
        <v>17</v>
      </c>
      <c r="E1" s="8" t="s">
        <v>18</v>
      </c>
      <c r="F1" s="8" t="s">
        <v>19</v>
      </c>
      <c r="G1" s="8" t="s">
        <v>25</v>
      </c>
    </row>
    <row r="2" spans="1:7" x14ac:dyDescent="0.25">
      <c r="A2" s="11"/>
      <c r="B2" s="11"/>
      <c r="C2" s="10"/>
      <c r="D2" s="79">
        <f>'Rechner Bilanz'!B17</f>
        <v>3.5</v>
      </c>
      <c r="E2" s="79">
        <f>'Rechner Bilanz'!B18</f>
        <v>3.5</v>
      </c>
      <c r="F2" s="79">
        <f>'Rechner Bilanz'!B16</f>
        <v>3.5</v>
      </c>
      <c r="G2" s="79">
        <f>'Rechner Bilanz'!J16</f>
        <v>3.5</v>
      </c>
    </row>
    <row r="3" spans="1:7" x14ac:dyDescent="0.25">
      <c r="A3" s="16">
        <v>0</v>
      </c>
      <c r="B3" s="14">
        <v>8000</v>
      </c>
      <c r="C3" s="14">
        <v>485</v>
      </c>
      <c r="D3" s="17">
        <f>C3/10*$D$2</f>
        <v>169.75</v>
      </c>
      <c r="E3" s="17">
        <f>C3/10*$E$2</f>
        <v>169.75</v>
      </c>
      <c r="F3" s="17">
        <f>F4</f>
        <v>232.75</v>
      </c>
      <c r="G3" s="17">
        <f>C3/10*$G$2</f>
        <v>169.75</v>
      </c>
    </row>
    <row r="4" spans="1:7" x14ac:dyDescent="0.25">
      <c r="A4" s="16">
        <f>B3+1</f>
        <v>8001</v>
      </c>
      <c r="B4" s="14">
        <v>9000</v>
      </c>
      <c r="C4" s="14">
        <v>528</v>
      </c>
      <c r="D4" s="17">
        <f t="shared" ref="D4:D37" si="0">C4/10*$D$2</f>
        <v>184.79999999999998</v>
      </c>
      <c r="E4" s="17">
        <f t="shared" ref="E4:E37" si="1">C4/10*$E$2</f>
        <v>184.79999999999998</v>
      </c>
      <c r="F4" s="17">
        <f>F7</f>
        <v>232.75</v>
      </c>
      <c r="G4" s="17">
        <f t="shared" ref="G4:G37" si="2">C4/10*$G$2</f>
        <v>184.79999999999998</v>
      </c>
    </row>
    <row r="5" spans="1:7" x14ac:dyDescent="0.25">
      <c r="A5" s="16">
        <f t="shared" ref="A5:A37" si="3">B4+1</f>
        <v>9001</v>
      </c>
      <c r="B5" s="14">
        <v>10000</v>
      </c>
      <c r="C5" s="14">
        <v>571</v>
      </c>
      <c r="D5" s="17">
        <f t="shared" si="0"/>
        <v>199.85</v>
      </c>
      <c r="E5" s="17">
        <f t="shared" si="1"/>
        <v>199.85</v>
      </c>
      <c r="F5" s="17">
        <f>F7</f>
        <v>232.75</v>
      </c>
      <c r="G5" s="17">
        <f t="shared" si="2"/>
        <v>199.85</v>
      </c>
    </row>
    <row r="6" spans="1:7" x14ac:dyDescent="0.25">
      <c r="A6" s="16">
        <f t="shared" si="3"/>
        <v>10001</v>
      </c>
      <c r="B6" s="14">
        <v>13000</v>
      </c>
      <c r="C6" s="14">
        <v>618</v>
      </c>
      <c r="D6" s="17">
        <f t="shared" si="0"/>
        <v>216.29999999999998</v>
      </c>
      <c r="E6" s="17">
        <f t="shared" si="1"/>
        <v>216.29999999999998</v>
      </c>
      <c r="F6" s="17">
        <f>F7</f>
        <v>232.75</v>
      </c>
      <c r="G6" s="17">
        <f t="shared" si="2"/>
        <v>216.29999999999998</v>
      </c>
    </row>
    <row r="7" spans="1:7" x14ac:dyDescent="0.25">
      <c r="A7" s="16">
        <f t="shared" si="3"/>
        <v>13001</v>
      </c>
      <c r="B7" s="14">
        <v>16000</v>
      </c>
      <c r="C7" s="14">
        <v>665</v>
      </c>
      <c r="D7" s="17">
        <f t="shared" si="0"/>
        <v>232.75</v>
      </c>
      <c r="E7" s="17">
        <f t="shared" si="1"/>
        <v>232.75</v>
      </c>
      <c r="F7" s="17">
        <f t="shared" ref="F7:F37" si="4">C7/10*$F$2</f>
        <v>232.75</v>
      </c>
      <c r="G7" s="17">
        <f t="shared" si="2"/>
        <v>232.75</v>
      </c>
    </row>
    <row r="8" spans="1:7" x14ac:dyDescent="0.25">
      <c r="A8" s="16">
        <f t="shared" si="3"/>
        <v>16001</v>
      </c>
      <c r="B8" s="14">
        <v>19000</v>
      </c>
      <c r="C8" s="14">
        <v>712</v>
      </c>
      <c r="D8" s="17">
        <f t="shared" si="0"/>
        <v>249.20000000000002</v>
      </c>
      <c r="E8" s="17">
        <f t="shared" si="1"/>
        <v>249.20000000000002</v>
      </c>
      <c r="F8" s="17">
        <f t="shared" si="4"/>
        <v>249.20000000000002</v>
      </c>
      <c r="G8" s="17">
        <f t="shared" si="2"/>
        <v>249.20000000000002</v>
      </c>
    </row>
    <row r="9" spans="1:7" x14ac:dyDescent="0.25">
      <c r="A9" s="16">
        <f t="shared" si="3"/>
        <v>19001</v>
      </c>
      <c r="B9" s="14">
        <v>22000</v>
      </c>
      <c r="C9" s="14">
        <v>759</v>
      </c>
      <c r="D9" s="17">
        <f t="shared" si="0"/>
        <v>265.65000000000003</v>
      </c>
      <c r="E9" s="17">
        <f t="shared" si="1"/>
        <v>265.65000000000003</v>
      </c>
      <c r="F9" s="17">
        <f t="shared" si="4"/>
        <v>265.65000000000003</v>
      </c>
      <c r="G9" s="17">
        <f t="shared" si="2"/>
        <v>265.65000000000003</v>
      </c>
    </row>
    <row r="10" spans="1:7" x14ac:dyDescent="0.25">
      <c r="A10" s="16">
        <f t="shared" si="3"/>
        <v>22001</v>
      </c>
      <c r="B10" s="14">
        <v>25000</v>
      </c>
      <c r="C10" s="14">
        <v>806</v>
      </c>
      <c r="D10" s="17">
        <f t="shared" si="0"/>
        <v>282.09999999999997</v>
      </c>
      <c r="E10" s="17">
        <f t="shared" si="1"/>
        <v>282.09999999999997</v>
      </c>
      <c r="F10" s="17">
        <f t="shared" si="4"/>
        <v>282.09999999999997</v>
      </c>
      <c r="G10" s="17">
        <f t="shared" si="2"/>
        <v>282.09999999999997</v>
      </c>
    </row>
    <row r="11" spans="1:7" x14ac:dyDescent="0.25">
      <c r="A11" s="16">
        <f t="shared" si="3"/>
        <v>25001</v>
      </c>
      <c r="B11" s="14">
        <v>30000</v>
      </c>
      <c r="C11" s="14">
        <v>892</v>
      </c>
      <c r="D11" s="17">
        <f t="shared" si="0"/>
        <v>312.2</v>
      </c>
      <c r="E11" s="17">
        <f t="shared" si="1"/>
        <v>312.2</v>
      </c>
      <c r="F11" s="17">
        <f t="shared" si="4"/>
        <v>312.2</v>
      </c>
      <c r="G11" s="17">
        <f t="shared" si="2"/>
        <v>312.2</v>
      </c>
    </row>
    <row r="12" spans="1:7" x14ac:dyDescent="0.25">
      <c r="A12" s="16">
        <f t="shared" si="3"/>
        <v>30001</v>
      </c>
      <c r="B12" s="14">
        <v>35000</v>
      </c>
      <c r="C12" s="14">
        <v>977</v>
      </c>
      <c r="D12" s="17">
        <f t="shared" si="0"/>
        <v>341.95</v>
      </c>
      <c r="E12" s="17">
        <f t="shared" si="1"/>
        <v>341.95</v>
      </c>
      <c r="F12" s="17">
        <f t="shared" si="4"/>
        <v>341.95</v>
      </c>
      <c r="G12" s="17">
        <f t="shared" si="2"/>
        <v>341.95</v>
      </c>
    </row>
    <row r="13" spans="1:7" x14ac:dyDescent="0.25">
      <c r="A13" s="16">
        <f t="shared" si="3"/>
        <v>35001</v>
      </c>
      <c r="B13" s="14">
        <v>40000</v>
      </c>
      <c r="C13" s="14">
        <v>1061</v>
      </c>
      <c r="D13" s="17">
        <f t="shared" si="0"/>
        <v>371.34999999999997</v>
      </c>
      <c r="E13" s="17">
        <f t="shared" si="1"/>
        <v>371.34999999999997</v>
      </c>
      <c r="F13" s="17">
        <f t="shared" si="4"/>
        <v>371.34999999999997</v>
      </c>
      <c r="G13" s="17">
        <f t="shared" si="2"/>
        <v>371.34999999999997</v>
      </c>
    </row>
    <row r="14" spans="1:7" x14ac:dyDescent="0.25">
      <c r="A14" s="16">
        <f t="shared" si="3"/>
        <v>40001</v>
      </c>
      <c r="B14" s="14">
        <v>45000</v>
      </c>
      <c r="C14" s="14">
        <v>1146</v>
      </c>
      <c r="D14" s="17">
        <f t="shared" si="0"/>
        <v>401.09999999999997</v>
      </c>
      <c r="E14" s="17">
        <f t="shared" si="1"/>
        <v>401.09999999999997</v>
      </c>
      <c r="F14" s="17">
        <f t="shared" si="4"/>
        <v>401.09999999999997</v>
      </c>
      <c r="G14" s="17">
        <f t="shared" si="2"/>
        <v>401.09999999999997</v>
      </c>
    </row>
    <row r="15" spans="1:7" x14ac:dyDescent="0.25">
      <c r="A15" s="16">
        <f t="shared" si="3"/>
        <v>45001</v>
      </c>
      <c r="B15" s="14">
        <v>50000</v>
      </c>
      <c r="C15" s="14">
        <v>1230</v>
      </c>
      <c r="D15" s="17">
        <f t="shared" si="0"/>
        <v>430.5</v>
      </c>
      <c r="E15" s="17">
        <f t="shared" si="1"/>
        <v>430.5</v>
      </c>
      <c r="F15" s="17">
        <f t="shared" si="4"/>
        <v>430.5</v>
      </c>
      <c r="G15" s="17">
        <f t="shared" si="2"/>
        <v>430.5</v>
      </c>
    </row>
    <row r="16" spans="1:7" x14ac:dyDescent="0.25">
      <c r="A16" s="16">
        <f t="shared" si="3"/>
        <v>50001</v>
      </c>
      <c r="B16" s="14">
        <v>65000</v>
      </c>
      <c r="C16" s="14">
        <v>1320</v>
      </c>
      <c r="D16" s="17">
        <f t="shared" si="0"/>
        <v>462</v>
      </c>
      <c r="E16" s="17">
        <f t="shared" si="1"/>
        <v>462</v>
      </c>
      <c r="F16" s="17">
        <f t="shared" si="4"/>
        <v>462</v>
      </c>
      <c r="G16" s="17">
        <f t="shared" si="2"/>
        <v>462</v>
      </c>
    </row>
    <row r="17" spans="1:7" x14ac:dyDescent="0.25">
      <c r="A17" s="16">
        <f t="shared" si="3"/>
        <v>65001</v>
      </c>
      <c r="B17" s="14">
        <v>80000</v>
      </c>
      <c r="C17" s="14">
        <v>1411</v>
      </c>
      <c r="D17" s="17">
        <f t="shared" si="0"/>
        <v>493.84999999999997</v>
      </c>
      <c r="E17" s="17">
        <f t="shared" si="1"/>
        <v>493.84999999999997</v>
      </c>
      <c r="F17" s="17">
        <f t="shared" si="4"/>
        <v>493.84999999999997</v>
      </c>
      <c r="G17" s="17">
        <f t="shared" si="2"/>
        <v>493.84999999999997</v>
      </c>
    </row>
    <row r="18" spans="1:7" x14ac:dyDescent="0.25">
      <c r="A18" s="16">
        <f t="shared" si="3"/>
        <v>80001</v>
      </c>
      <c r="B18" s="14">
        <v>95000</v>
      </c>
      <c r="C18" s="14">
        <v>1502</v>
      </c>
      <c r="D18" s="17">
        <f t="shared" si="0"/>
        <v>525.69999999999993</v>
      </c>
      <c r="E18" s="17">
        <f t="shared" si="1"/>
        <v>525.69999999999993</v>
      </c>
      <c r="F18" s="17">
        <f t="shared" si="4"/>
        <v>525.69999999999993</v>
      </c>
      <c r="G18" s="17">
        <f t="shared" si="2"/>
        <v>525.69999999999993</v>
      </c>
    </row>
    <row r="19" spans="1:7" x14ac:dyDescent="0.25">
      <c r="A19" s="16">
        <f t="shared" si="3"/>
        <v>95001</v>
      </c>
      <c r="B19" s="14">
        <v>110000</v>
      </c>
      <c r="C19" s="14">
        <v>1593</v>
      </c>
      <c r="D19" s="17">
        <f t="shared" si="0"/>
        <v>557.55000000000007</v>
      </c>
      <c r="E19" s="17">
        <f t="shared" si="1"/>
        <v>557.55000000000007</v>
      </c>
      <c r="F19" s="17">
        <f t="shared" si="4"/>
        <v>557.55000000000007</v>
      </c>
      <c r="G19" s="17">
        <f t="shared" si="2"/>
        <v>557.55000000000007</v>
      </c>
    </row>
    <row r="20" spans="1:7" x14ac:dyDescent="0.25">
      <c r="A20" s="16">
        <f t="shared" si="3"/>
        <v>110001</v>
      </c>
      <c r="B20" s="14">
        <v>125000</v>
      </c>
      <c r="C20" s="14">
        <v>1683</v>
      </c>
      <c r="D20" s="17">
        <f t="shared" si="0"/>
        <v>589.05000000000007</v>
      </c>
      <c r="E20" s="17">
        <f t="shared" si="1"/>
        <v>589.05000000000007</v>
      </c>
      <c r="F20" s="17">
        <f>C20/10*$F$2</f>
        <v>589.05000000000007</v>
      </c>
      <c r="G20" s="17">
        <f t="shared" si="2"/>
        <v>589.05000000000007</v>
      </c>
    </row>
    <row r="21" spans="1:7" x14ac:dyDescent="0.25">
      <c r="A21" s="16">
        <f t="shared" si="3"/>
        <v>125001</v>
      </c>
      <c r="B21" s="14">
        <v>140000</v>
      </c>
      <c r="C21" s="14">
        <v>1773</v>
      </c>
      <c r="D21" s="17">
        <f t="shared" si="0"/>
        <v>620.55000000000007</v>
      </c>
      <c r="E21" s="17">
        <f t="shared" si="1"/>
        <v>620.55000000000007</v>
      </c>
      <c r="F21" s="17">
        <f t="shared" si="4"/>
        <v>620.55000000000007</v>
      </c>
      <c r="G21" s="17">
        <f t="shared" si="2"/>
        <v>620.55000000000007</v>
      </c>
    </row>
    <row r="22" spans="1:7" x14ac:dyDescent="0.25">
      <c r="A22" s="16">
        <f t="shared" si="3"/>
        <v>140001</v>
      </c>
      <c r="B22" s="14">
        <v>155000</v>
      </c>
      <c r="C22" s="14">
        <v>1864</v>
      </c>
      <c r="D22" s="17">
        <f t="shared" si="0"/>
        <v>652.4</v>
      </c>
      <c r="E22" s="17">
        <f t="shared" si="1"/>
        <v>652.4</v>
      </c>
      <c r="F22" s="17">
        <f t="shared" si="4"/>
        <v>652.4</v>
      </c>
      <c r="G22" s="17">
        <f t="shared" si="2"/>
        <v>652.4</v>
      </c>
    </row>
    <row r="23" spans="1:7" x14ac:dyDescent="0.25">
      <c r="A23" s="16">
        <f t="shared" si="3"/>
        <v>155001</v>
      </c>
      <c r="B23" s="14">
        <v>170000</v>
      </c>
      <c r="C23" s="14">
        <v>1954</v>
      </c>
      <c r="D23" s="17">
        <f t="shared" si="0"/>
        <v>683.9</v>
      </c>
      <c r="E23" s="17">
        <f t="shared" si="1"/>
        <v>683.9</v>
      </c>
      <c r="F23" s="17">
        <f t="shared" si="4"/>
        <v>683.9</v>
      </c>
      <c r="G23" s="17">
        <f t="shared" si="2"/>
        <v>683.9</v>
      </c>
    </row>
    <row r="24" spans="1:7" x14ac:dyDescent="0.25">
      <c r="A24" s="16">
        <f t="shared" si="3"/>
        <v>170001</v>
      </c>
      <c r="B24" s="14">
        <v>185000</v>
      </c>
      <c r="C24" s="14">
        <v>2045</v>
      </c>
      <c r="D24" s="17">
        <f t="shared" si="0"/>
        <v>715.75</v>
      </c>
      <c r="E24" s="17">
        <f t="shared" si="1"/>
        <v>715.75</v>
      </c>
      <c r="F24" s="17">
        <f t="shared" si="4"/>
        <v>715.75</v>
      </c>
      <c r="G24" s="17">
        <f t="shared" si="2"/>
        <v>715.75</v>
      </c>
    </row>
    <row r="25" spans="1:7" x14ac:dyDescent="0.25">
      <c r="A25" s="16">
        <f t="shared" si="3"/>
        <v>185001</v>
      </c>
      <c r="B25" s="14">
        <v>200000</v>
      </c>
      <c r="C25" s="14">
        <v>2136</v>
      </c>
      <c r="D25" s="17">
        <f t="shared" si="0"/>
        <v>747.6</v>
      </c>
      <c r="E25" s="17">
        <f t="shared" si="1"/>
        <v>747.6</v>
      </c>
      <c r="F25" s="17">
        <f t="shared" si="4"/>
        <v>747.6</v>
      </c>
      <c r="G25" s="17">
        <f t="shared" si="2"/>
        <v>747.6</v>
      </c>
    </row>
    <row r="26" spans="1:7" x14ac:dyDescent="0.25">
      <c r="A26" s="16">
        <f t="shared" si="3"/>
        <v>200001</v>
      </c>
      <c r="B26" s="14">
        <v>230000</v>
      </c>
      <c r="C26" s="14">
        <v>2275</v>
      </c>
      <c r="D26" s="17">
        <f t="shared" si="0"/>
        <v>796.25</v>
      </c>
      <c r="E26" s="17">
        <f t="shared" si="1"/>
        <v>796.25</v>
      </c>
      <c r="F26" s="17">
        <f t="shared" si="4"/>
        <v>796.25</v>
      </c>
      <c r="G26" s="17">
        <f t="shared" si="2"/>
        <v>796.25</v>
      </c>
    </row>
    <row r="27" spans="1:7" x14ac:dyDescent="0.25">
      <c r="A27" s="16">
        <f t="shared" si="3"/>
        <v>230001</v>
      </c>
      <c r="B27" s="14">
        <v>260000</v>
      </c>
      <c r="C27" s="14">
        <v>2414</v>
      </c>
      <c r="D27" s="17">
        <f t="shared" si="0"/>
        <v>844.9</v>
      </c>
      <c r="E27" s="17">
        <f t="shared" si="1"/>
        <v>844.9</v>
      </c>
      <c r="F27" s="17">
        <f t="shared" si="4"/>
        <v>844.9</v>
      </c>
      <c r="G27" s="17">
        <f t="shared" si="2"/>
        <v>844.9</v>
      </c>
    </row>
    <row r="28" spans="1:7" x14ac:dyDescent="0.25">
      <c r="A28" s="16">
        <f t="shared" si="3"/>
        <v>260001</v>
      </c>
      <c r="B28" s="14">
        <v>290000</v>
      </c>
      <c r="C28" s="14">
        <v>2552</v>
      </c>
      <c r="D28" s="17">
        <f t="shared" si="0"/>
        <v>893.19999999999993</v>
      </c>
      <c r="E28" s="17">
        <f t="shared" si="1"/>
        <v>893.19999999999993</v>
      </c>
      <c r="F28" s="17">
        <f t="shared" si="4"/>
        <v>893.19999999999993</v>
      </c>
      <c r="G28" s="17">
        <f t="shared" si="2"/>
        <v>893.19999999999993</v>
      </c>
    </row>
    <row r="29" spans="1:7" x14ac:dyDescent="0.25">
      <c r="A29" s="16">
        <f t="shared" si="3"/>
        <v>290001</v>
      </c>
      <c r="B29" s="14">
        <v>320000</v>
      </c>
      <c r="C29" s="14">
        <v>2697</v>
      </c>
      <c r="D29" s="17">
        <f t="shared" si="0"/>
        <v>943.94999999999993</v>
      </c>
      <c r="E29" s="17">
        <f t="shared" si="1"/>
        <v>943.94999999999993</v>
      </c>
      <c r="F29" s="17">
        <f t="shared" si="4"/>
        <v>943.94999999999993</v>
      </c>
      <c r="G29" s="17">
        <f t="shared" si="2"/>
        <v>943.94999999999993</v>
      </c>
    </row>
    <row r="30" spans="1:7" x14ac:dyDescent="0.25">
      <c r="A30" s="16">
        <f t="shared" si="3"/>
        <v>320001</v>
      </c>
      <c r="B30" s="14">
        <v>350000</v>
      </c>
      <c r="C30" s="14">
        <v>2760</v>
      </c>
      <c r="D30" s="17">
        <f t="shared" si="0"/>
        <v>966</v>
      </c>
      <c r="E30" s="17">
        <f t="shared" si="1"/>
        <v>966</v>
      </c>
      <c r="F30" s="17">
        <f t="shared" si="4"/>
        <v>966</v>
      </c>
      <c r="G30" s="17">
        <f t="shared" si="2"/>
        <v>966</v>
      </c>
    </row>
    <row r="31" spans="1:7" x14ac:dyDescent="0.25">
      <c r="A31" s="16">
        <f t="shared" si="3"/>
        <v>350001</v>
      </c>
      <c r="B31" s="14">
        <v>380000</v>
      </c>
      <c r="C31" s="14">
        <v>2821</v>
      </c>
      <c r="D31" s="17">
        <f t="shared" si="0"/>
        <v>987.35000000000014</v>
      </c>
      <c r="E31" s="17">
        <f t="shared" si="1"/>
        <v>987.35000000000014</v>
      </c>
      <c r="F31" s="17">
        <f t="shared" si="4"/>
        <v>987.35000000000014</v>
      </c>
      <c r="G31" s="17">
        <f t="shared" si="2"/>
        <v>987.35000000000014</v>
      </c>
    </row>
    <row r="32" spans="1:7" x14ac:dyDescent="0.25">
      <c r="A32" s="16">
        <f t="shared" si="3"/>
        <v>380001</v>
      </c>
      <c r="B32" s="14">
        <v>410000</v>
      </c>
      <c r="C32" s="14">
        <v>2882</v>
      </c>
      <c r="D32" s="17">
        <f t="shared" si="0"/>
        <v>1008.6999999999999</v>
      </c>
      <c r="E32" s="17">
        <f t="shared" si="1"/>
        <v>1008.6999999999999</v>
      </c>
      <c r="F32" s="17">
        <f t="shared" si="4"/>
        <v>1008.6999999999999</v>
      </c>
      <c r="G32" s="17">
        <f t="shared" si="2"/>
        <v>1008.6999999999999</v>
      </c>
    </row>
    <row r="33" spans="1:7" x14ac:dyDescent="0.25">
      <c r="A33" s="16">
        <f t="shared" si="3"/>
        <v>410001</v>
      </c>
      <c r="B33" s="14">
        <v>440000</v>
      </c>
      <c r="C33" s="14">
        <v>2939</v>
      </c>
      <c r="D33" s="17">
        <f t="shared" si="0"/>
        <v>1028.6499999999999</v>
      </c>
      <c r="E33" s="17">
        <f t="shared" si="1"/>
        <v>1028.6499999999999</v>
      </c>
      <c r="F33" s="17">
        <f t="shared" si="4"/>
        <v>1028.6499999999999</v>
      </c>
      <c r="G33" s="17">
        <f t="shared" si="2"/>
        <v>1028.6499999999999</v>
      </c>
    </row>
    <row r="34" spans="1:7" x14ac:dyDescent="0.25">
      <c r="A34" s="16">
        <f t="shared" si="3"/>
        <v>440001</v>
      </c>
      <c r="B34" s="14">
        <v>470000</v>
      </c>
      <c r="C34" s="14">
        <v>2995</v>
      </c>
      <c r="D34" s="17">
        <f t="shared" si="0"/>
        <v>1048.25</v>
      </c>
      <c r="E34" s="17">
        <f t="shared" si="1"/>
        <v>1048.25</v>
      </c>
      <c r="F34" s="17">
        <f t="shared" si="4"/>
        <v>1048.25</v>
      </c>
      <c r="G34" s="17">
        <f t="shared" si="2"/>
        <v>1048.25</v>
      </c>
    </row>
    <row r="35" spans="1:7" x14ac:dyDescent="0.25">
      <c r="A35" s="16">
        <f t="shared" si="3"/>
        <v>470001</v>
      </c>
      <c r="B35" s="14">
        <v>500000</v>
      </c>
      <c r="C35" s="14">
        <v>3051</v>
      </c>
      <c r="D35" s="17">
        <f t="shared" si="0"/>
        <v>1067.8500000000001</v>
      </c>
      <c r="E35" s="17">
        <f t="shared" si="1"/>
        <v>1067.8500000000001</v>
      </c>
      <c r="F35" s="17">
        <f t="shared" si="4"/>
        <v>1067.8500000000001</v>
      </c>
      <c r="G35" s="17">
        <f t="shared" si="2"/>
        <v>1067.8500000000001</v>
      </c>
    </row>
    <row r="36" spans="1:7" x14ac:dyDescent="0.25">
      <c r="A36" s="16">
        <f t="shared" si="3"/>
        <v>500001</v>
      </c>
      <c r="B36" s="14">
        <v>550000</v>
      </c>
      <c r="C36" s="14">
        <v>3132</v>
      </c>
      <c r="D36" s="17">
        <f t="shared" si="0"/>
        <v>1096.2</v>
      </c>
      <c r="E36" s="17">
        <f t="shared" si="1"/>
        <v>1096.2</v>
      </c>
      <c r="F36" s="17">
        <f t="shared" si="4"/>
        <v>1096.2</v>
      </c>
      <c r="G36" s="17">
        <f t="shared" si="2"/>
        <v>1096.2</v>
      </c>
    </row>
    <row r="37" spans="1:7" x14ac:dyDescent="0.25">
      <c r="A37" s="18">
        <f t="shared" si="3"/>
        <v>550001</v>
      </c>
      <c r="B37" s="14">
        <v>600000</v>
      </c>
      <c r="C37" s="14">
        <v>3211</v>
      </c>
      <c r="D37" s="17">
        <f t="shared" si="0"/>
        <v>1123.8500000000001</v>
      </c>
      <c r="E37" s="17">
        <f t="shared" si="1"/>
        <v>1123.8500000000001</v>
      </c>
      <c r="F37" s="17">
        <f t="shared" si="4"/>
        <v>1123.8500000000001</v>
      </c>
      <c r="G37" s="17">
        <f t="shared" si="2"/>
        <v>1123.8500000000001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79"/>
  <sheetViews>
    <sheetView workbookViewId="0">
      <selection activeCell="K3" sqref="K3"/>
    </sheetView>
  </sheetViews>
  <sheetFormatPr baseColWidth="10" defaultRowHeight="15" x14ac:dyDescent="0.25"/>
  <cols>
    <col min="1" max="2" width="14" bestFit="1" customWidth="1"/>
    <col min="4" max="4" width="14.140625" customWidth="1"/>
    <col min="5" max="5" width="15" bestFit="1" customWidth="1"/>
    <col min="7" max="8" width="14" bestFit="1" customWidth="1"/>
    <col min="10" max="10" width="14.140625" customWidth="1"/>
    <col min="11" max="11" width="15" bestFit="1" customWidth="1"/>
  </cols>
  <sheetData>
    <row r="1" spans="1:12" ht="30" x14ac:dyDescent="0.25">
      <c r="A1" s="119" t="s">
        <v>16</v>
      </c>
      <c r="B1" s="119"/>
      <c r="C1" s="10" t="s">
        <v>13</v>
      </c>
      <c r="D1" s="8" t="s">
        <v>14</v>
      </c>
      <c r="E1" s="8" t="s">
        <v>15</v>
      </c>
      <c r="G1" s="119" t="s">
        <v>16</v>
      </c>
      <c r="H1" s="119"/>
      <c r="I1" s="10" t="s">
        <v>13</v>
      </c>
      <c r="J1" s="8" t="s">
        <v>31</v>
      </c>
      <c r="K1" s="8" t="s">
        <v>32</v>
      </c>
    </row>
    <row r="2" spans="1:12" x14ac:dyDescent="0.25">
      <c r="A2" s="11"/>
      <c r="B2" s="11"/>
      <c r="C2" s="10"/>
      <c r="D2" s="79">
        <f>'Rechner Bilanz'!B14</f>
        <v>25</v>
      </c>
      <c r="E2" s="79">
        <f>'Rechner Bilanz'!B15</f>
        <v>5</v>
      </c>
      <c r="G2" s="11"/>
      <c r="H2" s="11"/>
      <c r="I2" s="10"/>
      <c r="J2" s="79">
        <f>'Rechner Bilanz'!B41</f>
        <v>15</v>
      </c>
      <c r="K2" s="79">
        <f>'Rechner Bilanz'!B42</f>
        <v>7</v>
      </c>
      <c r="L2" s="20"/>
    </row>
    <row r="3" spans="1:12" x14ac:dyDescent="0.25">
      <c r="A3" s="12">
        <v>0</v>
      </c>
      <c r="B3" s="12">
        <v>3000</v>
      </c>
      <c r="C3" s="13">
        <v>46</v>
      </c>
      <c r="D3" s="9">
        <f>C3/10*$D$2</f>
        <v>114.99999999999999</v>
      </c>
      <c r="E3" s="9">
        <f t="shared" ref="E3:E24" si="0">C3/10*$E$2</f>
        <v>23</v>
      </c>
      <c r="G3" s="12">
        <v>0</v>
      </c>
      <c r="H3" s="14">
        <v>17500</v>
      </c>
      <c r="I3" s="14">
        <v>157</v>
      </c>
      <c r="J3" s="9">
        <f>I3/10*$J$2</f>
        <v>235.5</v>
      </c>
      <c r="K3" s="9">
        <f>I3/10*$K$2</f>
        <v>109.89999999999999</v>
      </c>
    </row>
    <row r="4" spans="1:12" x14ac:dyDescent="0.25">
      <c r="A4" s="12">
        <f>B3+1</f>
        <v>3001</v>
      </c>
      <c r="B4" s="12">
        <f>B3+500</f>
        <v>3500</v>
      </c>
      <c r="C4" s="13">
        <v>54</v>
      </c>
      <c r="D4" s="9">
        <f t="shared" ref="D4:D66" si="1">C4/10*$D$2</f>
        <v>135</v>
      </c>
      <c r="E4" s="9">
        <f t="shared" si="0"/>
        <v>27</v>
      </c>
      <c r="G4" s="14">
        <f>H3+1</f>
        <v>17501</v>
      </c>
      <c r="H4" s="14">
        <f>H3+2500</f>
        <v>20000</v>
      </c>
      <c r="I4" s="14">
        <v>168</v>
      </c>
      <c r="J4" s="9">
        <f t="shared" ref="J4:J67" si="2">I4/10*$J$2</f>
        <v>252</v>
      </c>
      <c r="K4" s="9">
        <f t="shared" ref="K4:K67" si="3">I4/10*$K$2</f>
        <v>117.60000000000001</v>
      </c>
    </row>
    <row r="5" spans="1:12" x14ac:dyDescent="0.25">
      <c r="A5" s="12">
        <f t="shared" ref="A5:A15" si="4">B4+1</f>
        <v>3501</v>
      </c>
      <c r="B5" s="12">
        <f>B4+500</f>
        <v>4000</v>
      </c>
      <c r="C5" s="13">
        <v>64</v>
      </c>
      <c r="D5" s="9">
        <f t="shared" si="1"/>
        <v>160</v>
      </c>
      <c r="E5" s="9">
        <f t="shared" si="0"/>
        <v>32</v>
      </c>
      <c r="G5" s="14">
        <f t="shared" ref="G5:G24" si="5">H4+1</f>
        <v>20001</v>
      </c>
      <c r="H5" s="14">
        <f t="shared" ref="H5:H6" si="6">H4+2500</f>
        <v>22500</v>
      </c>
      <c r="I5" s="14">
        <v>180</v>
      </c>
      <c r="J5" s="9">
        <f t="shared" si="2"/>
        <v>270</v>
      </c>
      <c r="K5" s="9">
        <f t="shared" si="3"/>
        <v>126</v>
      </c>
    </row>
    <row r="6" spans="1:12" x14ac:dyDescent="0.25">
      <c r="A6" s="12">
        <f t="shared" si="4"/>
        <v>4001</v>
      </c>
      <c r="B6" s="12">
        <f t="shared" ref="B6:B7" si="7">B5+500</f>
        <v>4500</v>
      </c>
      <c r="C6" s="13">
        <v>72</v>
      </c>
      <c r="D6" s="9">
        <f t="shared" si="1"/>
        <v>180</v>
      </c>
      <c r="E6" s="9">
        <f t="shared" si="0"/>
        <v>36</v>
      </c>
      <c r="G6" s="14">
        <f t="shared" si="5"/>
        <v>22501</v>
      </c>
      <c r="H6" s="14">
        <f t="shared" si="6"/>
        <v>25000</v>
      </c>
      <c r="I6" s="14">
        <v>190</v>
      </c>
      <c r="J6" s="9">
        <f t="shared" si="2"/>
        <v>285</v>
      </c>
      <c r="K6" s="9">
        <f t="shared" si="3"/>
        <v>133</v>
      </c>
    </row>
    <row r="7" spans="1:12" x14ac:dyDescent="0.25">
      <c r="A7" s="12">
        <f t="shared" si="4"/>
        <v>4501</v>
      </c>
      <c r="B7" s="12">
        <f t="shared" si="7"/>
        <v>5000</v>
      </c>
      <c r="C7" s="13">
        <v>81</v>
      </c>
      <c r="D7" s="9">
        <f t="shared" si="1"/>
        <v>202.5</v>
      </c>
      <c r="E7" s="9">
        <f t="shared" si="0"/>
        <v>40.5</v>
      </c>
      <c r="G7" s="14">
        <f t="shared" si="5"/>
        <v>25001</v>
      </c>
      <c r="H7" s="14">
        <v>37500</v>
      </c>
      <c r="I7" s="14">
        <v>203</v>
      </c>
      <c r="J7" s="9">
        <f t="shared" si="2"/>
        <v>304.5</v>
      </c>
      <c r="K7" s="9">
        <f t="shared" si="3"/>
        <v>142.1</v>
      </c>
    </row>
    <row r="8" spans="1:12" x14ac:dyDescent="0.25">
      <c r="A8" s="12">
        <f t="shared" si="4"/>
        <v>5001</v>
      </c>
      <c r="B8" s="12">
        <v>6000</v>
      </c>
      <c r="C8" s="13">
        <v>91</v>
      </c>
      <c r="D8" s="9">
        <f t="shared" si="1"/>
        <v>227.5</v>
      </c>
      <c r="E8" s="9">
        <f t="shared" si="0"/>
        <v>45.5</v>
      </c>
      <c r="G8" s="14">
        <f t="shared" si="5"/>
        <v>37501</v>
      </c>
      <c r="H8" s="14">
        <v>50000</v>
      </c>
      <c r="I8" s="14">
        <v>248</v>
      </c>
      <c r="J8" s="9">
        <f t="shared" si="2"/>
        <v>372</v>
      </c>
      <c r="K8" s="9">
        <f t="shared" si="3"/>
        <v>173.6</v>
      </c>
    </row>
    <row r="9" spans="1:12" x14ac:dyDescent="0.25">
      <c r="A9" s="12">
        <f t="shared" si="4"/>
        <v>6001</v>
      </c>
      <c r="B9" s="12">
        <f>B8+1000</f>
        <v>7000</v>
      </c>
      <c r="C9" s="13">
        <v>99</v>
      </c>
      <c r="D9" s="9">
        <f t="shared" si="1"/>
        <v>247.5</v>
      </c>
      <c r="E9" s="9">
        <f t="shared" si="0"/>
        <v>49.5</v>
      </c>
      <c r="G9" s="14">
        <f t="shared" si="5"/>
        <v>50001</v>
      </c>
      <c r="H9" s="14">
        <v>62500</v>
      </c>
      <c r="I9" s="14">
        <v>286</v>
      </c>
      <c r="J9" s="9">
        <f t="shared" si="2"/>
        <v>429</v>
      </c>
      <c r="K9" s="9">
        <f t="shared" si="3"/>
        <v>200.20000000000002</v>
      </c>
    </row>
    <row r="10" spans="1:12" x14ac:dyDescent="0.25">
      <c r="A10" s="12">
        <f t="shared" si="4"/>
        <v>7001</v>
      </c>
      <c r="B10" s="12">
        <f>B9+1000</f>
        <v>8000</v>
      </c>
      <c r="C10" s="13">
        <v>109</v>
      </c>
      <c r="D10" s="9">
        <f t="shared" si="1"/>
        <v>272.5</v>
      </c>
      <c r="E10" s="9">
        <f t="shared" si="0"/>
        <v>54.5</v>
      </c>
      <c r="G10" s="14">
        <f t="shared" si="5"/>
        <v>62501</v>
      </c>
      <c r="H10" s="14">
        <v>75000</v>
      </c>
      <c r="I10" s="14">
        <v>319</v>
      </c>
      <c r="J10" s="9">
        <f t="shared" si="2"/>
        <v>478.5</v>
      </c>
      <c r="K10" s="9">
        <f t="shared" si="3"/>
        <v>223.29999999999998</v>
      </c>
    </row>
    <row r="11" spans="1:12" x14ac:dyDescent="0.25">
      <c r="A11" s="12">
        <f t="shared" si="4"/>
        <v>8001</v>
      </c>
      <c r="B11" s="12">
        <f>B10+1000</f>
        <v>9000</v>
      </c>
      <c r="C11" s="13">
        <v>114</v>
      </c>
      <c r="D11" s="9">
        <f t="shared" si="1"/>
        <v>285</v>
      </c>
      <c r="E11" s="9">
        <f t="shared" si="0"/>
        <v>57</v>
      </c>
      <c r="G11" s="14">
        <f t="shared" si="5"/>
        <v>75001</v>
      </c>
      <c r="H11" s="14">
        <f>H10+12500</f>
        <v>87500</v>
      </c>
      <c r="I11" s="14">
        <v>333</v>
      </c>
      <c r="J11" s="9">
        <f t="shared" si="2"/>
        <v>499.49999999999994</v>
      </c>
      <c r="K11" s="9">
        <f t="shared" si="3"/>
        <v>233.09999999999997</v>
      </c>
    </row>
    <row r="12" spans="1:12" x14ac:dyDescent="0.25">
      <c r="A12" s="12">
        <f t="shared" si="4"/>
        <v>9001</v>
      </c>
      <c r="B12" s="12">
        <f>B11+1000</f>
        <v>10000</v>
      </c>
      <c r="C12" s="13">
        <v>120</v>
      </c>
      <c r="D12" s="9">
        <f t="shared" si="1"/>
        <v>300</v>
      </c>
      <c r="E12" s="9">
        <f t="shared" si="0"/>
        <v>60</v>
      </c>
      <c r="G12" s="14">
        <f t="shared" si="5"/>
        <v>87501</v>
      </c>
      <c r="H12" s="14">
        <f t="shared" ref="H12" si="8">H11+12500</f>
        <v>100000</v>
      </c>
      <c r="I12" s="14">
        <v>348</v>
      </c>
      <c r="J12" s="9">
        <f t="shared" si="2"/>
        <v>522</v>
      </c>
      <c r="K12" s="9">
        <f t="shared" si="3"/>
        <v>243.59999999999997</v>
      </c>
    </row>
    <row r="13" spans="1:12" x14ac:dyDescent="0.25">
      <c r="A13" s="12">
        <f t="shared" si="4"/>
        <v>10001</v>
      </c>
      <c r="B13" s="12">
        <f>B12+2500</f>
        <v>12500</v>
      </c>
      <c r="C13" s="13">
        <v>126</v>
      </c>
      <c r="D13" s="9">
        <f t="shared" si="1"/>
        <v>315</v>
      </c>
      <c r="E13" s="9">
        <f t="shared" si="0"/>
        <v>63</v>
      </c>
      <c r="G13" s="14">
        <f t="shared" si="5"/>
        <v>100001</v>
      </c>
      <c r="H13" s="14">
        <v>125000</v>
      </c>
      <c r="I13" s="14">
        <v>399</v>
      </c>
      <c r="J13" s="9">
        <f t="shared" si="2"/>
        <v>598.5</v>
      </c>
      <c r="K13" s="9">
        <f t="shared" si="3"/>
        <v>279.3</v>
      </c>
    </row>
    <row r="14" spans="1:12" x14ac:dyDescent="0.25">
      <c r="A14" s="12">
        <f t="shared" si="4"/>
        <v>12501</v>
      </c>
      <c r="B14" s="12">
        <f>B13+2500</f>
        <v>15000</v>
      </c>
      <c r="C14" s="13">
        <v>142</v>
      </c>
      <c r="D14" s="9">
        <f t="shared" si="1"/>
        <v>355</v>
      </c>
      <c r="E14" s="9">
        <f t="shared" si="0"/>
        <v>71</v>
      </c>
      <c r="G14" s="14">
        <f t="shared" si="5"/>
        <v>125001</v>
      </c>
      <c r="H14" s="14">
        <v>150000</v>
      </c>
      <c r="I14" s="14">
        <v>444</v>
      </c>
      <c r="J14" s="9">
        <f t="shared" si="2"/>
        <v>666</v>
      </c>
      <c r="K14" s="9">
        <f t="shared" si="3"/>
        <v>310.8</v>
      </c>
    </row>
    <row r="15" spans="1:12" x14ac:dyDescent="0.25">
      <c r="A15" s="12">
        <f t="shared" si="4"/>
        <v>15001</v>
      </c>
      <c r="B15" s="14">
        <v>17500</v>
      </c>
      <c r="C15" s="14">
        <v>157</v>
      </c>
      <c r="D15" s="9">
        <f t="shared" si="1"/>
        <v>392.5</v>
      </c>
      <c r="E15" s="9">
        <f t="shared" si="0"/>
        <v>78.5</v>
      </c>
      <c r="G15" s="14">
        <f t="shared" si="5"/>
        <v>150001</v>
      </c>
      <c r="H15" s="14">
        <f>H14+25000</f>
        <v>175000</v>
      </c>
      <c r="I15" s="14">
        <v>483</v>
      </c>
      <c r="J15" s="9">
        <f t="shared" si="2"/>
        <v>724.5</v>
      </c>
      <c r="K15" s="9">
        <f t="shared" si="3"/>
        <v>338.09999999999997</v>
      </c>
    </row>
    <row r="16" spans="1:12" x14ac:dyDescent="0.25">
      <c r="A16" s="14">
        <f>B15+1</f>
        <v>17501</v>
      </c>
      <c r="B16" s="14">
        <f>B15+2500</f>
        <v>20000</v>
      </c>
      <c r="C16" s="14">
        <v>168</v>
      </c>
      <c r="D16" s="9">
        <f t="shared" si="1"/>
        <v>420</v>
      </c>
      <c r="E16" s="9">
        <f t="shared" si="0"/>
        <v>84</v>
      </c>
      <c r="G16" s="14">
        <f t="shared" si="5"/>
        <v>175001</v>
      </c>
      <c r="H16" s="14">
        <f t="shared" ref="H16" si="9">H15+25000</f>
        <v>200000</v>
      </c>
      <c r="I16" s="14">
        <v>517</v>
      </c>
      <c r="J16" s="9">
        <f t="shared" si="2"/>
        <v>775.5</v>
      </c>
      <c r="K16" s="9">
        <f t="shared" si="3"/>
        <v>361.90000000000003</v>
      </c>
    </row>
    <row r="17" spans="1:11" x14ac:dyDescent="0.25">
      <c r="A17" s="14">
        <f t="shared" ref="A17:A36" si="10">B16+1</f>
        <v>20001</v>
      </c>
      <c r="B17" s="14">
        <f t="shared" ref="B17:B18" si="11">B16+2500</f>
        <v>22500</v>
      </c>
      <c r="C17" s="14">
        <v>180</v>
      </c>
      <c r="D17" s="9">
        <f t="shared" si="1"/>
        <v>450</v>
      </c>
      <c r="E17" s="9">
        <f t="shared" si="0"/>
        <v>90</v>
      </c>
      <c r="G17" s="14">
        <f t="shared" si="5"/>
        <v>200001</v>
      </c>
      <c r="H17" s="14">
        <v>225000</v>
      </c>
      <c r="I17" s="14">
        <v>549</v>
      </c>
      <c r="J17" s="9">
        <f t="shared" si="2"/>
        <v>823.5</v>
      </c>
      <c r="K17" s="9">
        <f t="shared" si="3"/>
        <v>384.3</v>
      </c>
    </row>
    <row r="18" spans="1:11" x14ac:dyDescent="0.25">
      <c r="A18" s="14">
        <f t="shared" si="10"/>
        <v>22501</v>
      </c>
      <c r="B18" s="14">
        <f t="shared" si="11"/>
        <v>25000</v>
      </c>
      <c r="C18" s="14">
        <v>190</v>
      </c>
      <c r="D18" s="9">
        <f t="shared" si="1"/>
        <v>475</v>
      </c>
      <c r="E18" s="9">
        <f t="shared" si="0"/>
        <v>95</v>
      </c>
      <c r="G18" s="14">
        <f t="shared" si="5"/>
        <v>225001</v>
      </c>
      <c r="H18" s="14">
        <v>250000</v>
      </c>
      <c r="I18" s="14">
        <v>578</v>
      </c>
      <c r="J18" s="9">
        <f t="shared" si="2"/>
        <v>867</v>
      </c>
      <c r="K18" s="9">
        <f t="shared" si="3"/>
        <v>404.59999999999997</v>
      </c>
    </row>
    <row r="19" spans="1:11" x14ac:dyDescent="0.25">
      <c r="A19" s="14">
        <f t="shared" si="10"/>
        <v>25001</v>
      </c>
      <c r="B19" s="14">
        <v>37500</v>
      </c>
      <c r="C19" s="14">
        <v>203</v>
      </c>
      <c r="D19" s="9">
        <f t="shared" si="1"/>
        <v>507.5</v>
      </c>
      <c r="E19" s="9">
        <f t="shared" si="0"/>
        <v>101.5</v>
      </c>
      <c r="G19" s="14">
        <f t="shared" si="5"/>
        <v>250001</v>
      </c>
      <c r="H19" s="14">
        <f t="shared" ref="H19:H23" si="12">H18+50000</f>
        <v>300000</v>
      </c>
      <c r="I19" s="14">
        <v>605</v>
      </c>
      <c r="J19" s="9">
        <f t="shared" si="2"/>
        <v>907.5</v>
      </c>
      <c r="K19" s="9">
        <f t="shared" si="3"/>
        <v>423.5</v>
      </c>
    </row>
    <row r="20" spans="1:11" x14ac:dyDescent="0.25">
      <c r="A20" s="14">
        <f t="shared" si="10"/>
        <v>37501</v>
      </c>
      <c r="B20" s="14">
        <v>50000</v>
      </c>
      <c r="C20" s="14">
        <v>248</v>
      </c>
      <c r="D20" s="9">
        <f t="shared" si="1"/>
        <v>620</v>
      </c>
      <c r="E20" s="9">
        <f t="shared" si="0"/>
        <v>124</v>
      </c>
      <c r="G20" s="14">
        <f t="shared" si="5"/>
        <v>300001</v>
      </c>
      <c r="H20" s="14">
        <f t="shared" si="12"/>
        <v>350000</v>
      </c>
      <c r="I20" s="14">
        <v>657</v>
      </c>
      <c r="J20" s="9">
        <f t="shared" si="2"/>
        <v>985.5</v>
      </c>
      <c r="K20" s="9">
        <f t="shared" si="3"/>
        <v>459.90000000000003</v>
      </c>
    </row>
    <row r="21" spans="1:11" x14ac:dyDescent="0.25">
      <c r="A21" s="14">
        <f t="shared" si="10"/>
        <v>50001</v>
      </c>
      <c r="B21" s="14">
        <v>62500</v>
      </c>
      <c r="C21" s="14">
        <v>286</v>
      </c>
      <c r="D21" s="9">
        <f t="shared" si="1"/>
        <v>715</v>
      </c>
      <c r="E21" s="9">
        <f t="shared" si="0"/>
        <v>143</v>
      </c>
      <c r="G21" s="14">
        <f t="shared" si="5"/>
        <v>350001</v>
      </c>
      <c r="H21" s="14">
        <f t="shared" si="12"/>
        <v>400000</v>
      </c>
      <c r="I21" s="14">
        <v>704</v>
      </c>
      <c r="J21" s="9">
        <f t="shared" si="2"/>
        <v>1056</v>
      </c>
      <c r="K21" s="9">
        <f t="shared" si="3"/>
        <v>492.80000000000007</v>
      </c>
    </row>
    <row r="22" spans="1:11" x14ac:dyDescent="0.25">
      <c r="A22" s="14">
        <f t="shared" si="10"/>
        <v>62501</v>
      </c>
      <c r="B22" s="14">
        <v>75000</v>
      </c>
      <c r="C22" s="14">
        <v>319</v>
      </c>
      <c r="D22" s="9">
        <f t="shared" si="1"/>
        <v>797.5</v>
      </c>
      <c r="E22" s="9">
        <f t="shared" si="0"/>
        <v>159.5</v>
      </c>
      <c r="G22" s="14">
        <f t="shared" si="5"/>
        <v>400001</v>
      </c>
      <c r="H22" s="14">
        <f t="shared" si="12"/>
        <v>450000</v>
      </c>
      <c r="I22" s="14">
        <v>746</v>
      </c>
      <c r="J22" s="9">
        <f t="shared" si="2"/>
        <v>1119</v>
      </c>
      <c r="K22" s="9">
        <f t="shared" si="3"/>
        <v>522.19999999999993</v>
      </c>
    </row>
    <row r="23" spans="1:11" x14ac:dyDescent="0.25">
      <c r="A23" s="14">
        <f t="shared" si="10"/>
        <v>75001</v>
      </c>
      <c r="B23" s="14">
        <f>B22+12500</f>
        <v>87500</v>
      </c>
      <c r="C23" s="14">
        <v>333</v>
      </c>
      <c r="D23" s="9">
        <f t="shared" si="1"/>
        <v>832.49999999999989</v>
      </c>
      <c r="E23" s="9">
        <f t="shared" si="0"/>
        <v>166.5</v>
      </c>
      <c r="G23" s="14">
        <f t="shared" si="5"/>
        <v>450001</v>
      </c>
      <c r="H23" s="14">
        <f t="shared" si="12"/>
        <v>500000</v>
      </c>
      <c r="I23" s="14">
        <v>785</v>
      </c>
      <c r="J23" s="9">
        <f t="shared" si="2"/>
        <v>1177.5</v>
      </c>
      <c r="K23" s="9">
        <f t="shared" si="3"/>
        <v>549.5</v>
      </c>
    </row>
    <row r="24" spans="1:11" x14ac:dyDescent="0.25">
      <c r="A24" s="14">
        <f t="shared" si="10"/>
        <v>87501</v>
      </c>
      <c r="B24" s="14">
        <f t="shared" ref="B24" si="13">B23+12500</f>
        <v>100000</v>
      </c>
      <c r="C24" s="14">
        <v>348</v>
      </c>
      <c r="D24" s="9">
        <f t="shared" si="1"/>
        <v>869.99999999999989</v>
      </c>
      <c r="E24" s="9">
        <f t="shared" si="0"/>
        <v>174</v>
      </c>
      <c r="G24" s="14">
        <f t="shared" si="5"/>
        <v>500001</v>
      </c>
      <c r="H24" s="14">
        <v>625000</v>
      </c>
      <c r="I24" s="14">
        <v>822</v>
      </c>
      <c r="J24" s="9">
        <f t="shared" si="2"/>
        <v>1233</v>
      </c>
      <c r="K24" s="9">
        <f t="shared" si="3"/>
        <v>575.4</v>
      </c>
    </row>
    <row r="25" spans="1:11" x14ac:dyDescent="0.25">
      <c r="A25" s="14">
        <f t="shared" si="10"/>
        <v>100001</v>
      </c>
      <c r="B25" s="14">
        <v>125000</v>
      </c>
      <c r="C25" s="14">
        <v>399</v>
      </c>
      <c r="D25" s="9">
        <f t="shared" si="1"/>
        <v>997.5</v>
      </c>
      <c r="E25" s="9">
        <f t="shared" ref="E25:E27" si="14">C25/10*$E$2</f>
        <v>199.5</v>
      </c>
      <c r="G25" s="15">
        <f>H24+1</f>
        <v>625001</v>
      </c>
      <c r="H25" s="15">
        <f>H24+125000</f>
        <v>750000</v>
      </c>
      <c r="I25" s="14">
        <v>913</v>
      </c>
      <c r="J25" s="9">
        <f t="shared" si="2"/>
        <v>1369.5</v>
      </c>
      <c r="K25" s="9">
        <f t="shared" si="3"/>
        <v>639.1</v>
      </c>
    </row>
    <row r="26" spans="1:11" x14ac:dyDescent="0.25">
      <c r="A26" s="14">
        <f t="shared" si="10"/>
        <v>125001</v>
      </c>
      <c r="B26" s="14">
        <v>150000</v>
      </c>
      <c r="C26" s="14">
        <v>444</v>
      </c>
      <c r="D26" s="9">
        <f t="shared" si="1"/>
        <v>1110</v>
      </c>
      <c r="E26" s="9">
        <f t="shared" si="14"/>
        <v>222</v>
      </c>
      <c r="G26" s="15">
        <f t="shared" ref="G26:G67" si="15">H25+1</f>
        <v>750001</v>
      </c>
      <c r="H26" s="15">
        <f t="shared" ref="H26:H27" si="16">H25+125000</f>
        <v>875000</v>
      </c>
      <c r="I26" s="14">
        <v>991</v>
      </c>
      <c r="J26" s="9">
        <f t="shared" si="2"/>
        <v>1486.5</v>
      </c>
      <c r="K26" s="9">
        <f t="shared" si="3"/>
        <v>693.69999999999993</v>
      </c>
    </row>
    <row r="27" spans="1:11" x14ac:dyDescent="0.25">
      <c r="A27" s="14">
        <f t="shared" si="10"/>
        <v>150001</v>
      </c>
      <c r="B27" s="14">
        <f>B26+25000</f>
        <v>175000</v>
      </c>
      <c r="C27" s="14">
        <v>483</v>
      </c>
      <c r="D27" s="9">
        <f t="shared" si="1"/>
        <v>1207.5</v>
      </c>
      <c r="E27" s="9">
        <f t="shared" si="14"/>
        <v>241.5</v>
      </c>
      <c r="G27" s="15">
        <f t="shared" si="15"/>
        <v>875001</v>
      </c>
      <c r="H27" s="15">
        <f t="shared" si="16"/>
        <v>1000000</v>
      </c>
      <c r="I27" s="14">
        <v>1062</v>
      </c>
      <c r="J27" s="9">
        <f t="shared" si="2"/>
        <v>1593</v>
      </c>
      <c r="K27" s="9">
        <f t="shared" si="3"/>
        <v>743.4</v>
      </c>
    </row>
    <row r="28" spans="1:11" x14ac:dyDescent="0.25">
      <c r="A28" s="14">
        <f t="shared" si="10"/>
        <v>175001</v>
      </c>
      <c r="B28" s="14">
        <f t="shared" ref="B28" si="17">B27+25000</f>
        <v>200000</v>
      </c>
      <c r="C28" s="14">
        <v>517</v>
      </c>
      <c r="D28" s="9">
        <f t="shared" si="1"/>
        <v>1292.5</v>
      </c>
      <c r="E28" s="9">
        <f t="shared" ref="E28:E34" si="18">C28/10*$E$2</f>
        <v>258.5</v>
      </c>
      <c r="G28" s="15">
        <f t="shared" si="15"/>
        <v>1000001</v>
      </c>
      <c r="H28" s="15">
        <f>H27+250000</f>
        <v>1250000</v>
      </c>
      <c r="I28" s="14">
        <v>1126</v>
      </c>
      <c r="J28" s="9">
        <f t="shared" si="2"/>
        <v>1689</v>
      </c>
      <c r="K28" s="9">
        <f t="shared" si="3"/>
        <v>788.19999999999993</v>
      </c>
    </row>
    <row r="29" spans="1:11" x14ac:dyDescent="0.25">
      <c r="A29" s="14">
        <f t="shared" si="10"/>
        <v>200001</v>
      </c>
      <c r="B29" s="14">
        <v>225000</v>
      </c>
      <c r="C29" s="14">
        <v>549</v>
      </c>
      <c r="D29" s="9">
        <f t="shared" si="1"/>
        <v>1372.5</v>
      </c>
      <c r="E29" s="9">
        <f t="shared" si="18"/>
        <v>274.5</v>
      </c>
      <c r="G29" s="15">
        <f t="shared" si="15"/>
        <v>1250001</v>
      </c>
      <c r="H29" s="15">
        <f t="shared" ref="H29:H33" si="19">H28+250000</f>
        <v>1500000</v>
      </c>
      <c r="I29" s="14">
        <v>1249</v>
      </c>
      <c r="J29" s="9">
        <f t="shared" si="2"/>
        <v>1873.5</v>
      </c>
      <c r="K29" s="9">
        <f t="shared" si="3"/>
        <v>874.30000000000007</v>
      </c>
    </row>
    <row r="30" spans="1:11" x14ac:dyDescent="0.25">
      <c r="A30" s="14">
        <f t="shared" si="10"/>
        <v>225001</v>
      </c>
      <c r="B30" s="14">
        <v>250000</v>
      </c>
      <c r="C30" s="14">
        <v>578</v>
      </c>
      <c r="D30" s="9">
        <f t="shared" si="1"/>
        <v>1445</v>
      </c>
      <c r="E30" s="9">
        <f t="shared" si="18"/>
        <v>289</v>
      </c>
      <c r="G30" s="15">
        <f t="shared" si="15"/>
        <v>1500001</v>
      </c>
      <c r="H30" s="15">
        <f t="shared" si="19"/>
        <v>1750000</v>
      </c>
      <c r="I30" s="14">
        <v>1357</v>
      </c>
      <c r="J30" s="9">
        <f t="shared" si="2"/>
        <v>2035.4999999999998</v>
      </c>
      <c r="K30" s="9">
        <f t="shared" si="3"/>
        <v>949.89999999999986</v>
      </c>
    </row>
    <row r="31" spans="1:11" x14ac:dyDescent="0.25">
      <c r="A31" s="14">
        <f t="shared" si="10"/>
        <v>250001</v>
      </c>
      <c r="B31" s="14">
        <f t="shared" ref="B31:B35" si="20">B30+50000</f>
        <v>300000</v>
      </c>
      <c r="C31" s="14">
        <v>605</v>
      </c>
      <c r="D31" s="9">
        <f t="shared" si="1"/>
        <v>1512.5</v>
      </c>
      <c r="E31" s="9">
        <f t="shared" si="18"/>
        <v>302.5</v>
      </c>
      <c r="G31" s="15">
        <f t="shared" si="15"/>
        <v>1750001</v>
      </c>
      <c r="H31" s="15">
        <f t="shared" si="19"/>
        <v>2000000</v>
      </c>
      <c r="I31" s="14">
        <v>1455</v>
      </c>
      <c r="J31" s="9">
        <f t="shared" si="2"/>
        <v>2182.5</v>
      </c>
      <c r="K31" s="9">
        <f t="shared" si="3"/>
        <v>1018.5</v>
      </c>
    </row>
    <row r="32" spans="1:11" x14ac:dyDescent="0.25">
      <c r="A32" s="14">
        <f t="shared" si="10"/>
        <v>300001</v>
      </c>
      <c r="B32" s="14">
        <f t="shared" si="20"/>
        <v>350000</v>
      </c>
      <c r="C32" s="14">
        <v>657</v>
      </c>
      <c r="D32" s="9">
        <f t="shared" si="1"/>
        <v>1642.5</v>
      </c>
      <c r="E32" s="9">
        <f t="shared" si="18"/>
        <v>328.5</v>
      </c>
      <c r="G32" s="15">
        <f t="shared" si="15"/>
        <v>2000001</v>
      </c>
      <c r="H32" s="15">
        <f t="shared" si="19"/>
        <v>2250000</v>
      </c>
      <c r="I32" s="14">
        <v>1542</v>
      </c>
      <c r="J32" s="9">
        <f t="shared" si="2"/>
        <v>2313</v>
      </c>
      <c r="K32" s="9">
        <f t="shared" si="3"/>
        <v>1079.3999999999999</v>
      </c>
    </row>
    <row r="33" spans="1:11" x14ac:dyDescent="0.25">
      <c r="A33" s="14">
        <f t="shared" si="10"/>
        <v>350001</v>
      </c>
      <c r="B33" s="14">
        <f t="shared" si="20"/>
        <v>400000</v>
      </c>
      <c r="C33" s="14">
        <v>704</v>
      </c>
      <c r="D33" s="9">
        <f t="shared" si="1"/>
        <v>1760.0000000000002</v>
      </c>
      <c r="E33" s="9">
        <f t="shared" si="18"/>
        <v>352</v>
      </c>
      <c r="G33" s="15">
        <f t="shared" si="15"/>
        <v>2250001</v>
      </c>
      <c r="H33" s="15">
        <f t="shared" si="19"/>
        <v>2500000</v>
      </c>
      <c r="I33" s="14">
        <v>1621</v>
      </c>
      <c r="J33" s="9">
        <f t="shared" si="2"/>
        <v>2431.5</v>
      </c>
      <c r="K33" s="9">
        <f t="shared" si="3"/>
        <v>1134.7</v>
      </c>
    </row>
    <row r="34" spans="1:11" x14ac:dyDescent="0.25">
      <c r="A34" s="14">
        <f t="shared" si="10"/>
        <v>400001</v>
      </c>
      <c r="B34" s="14">
        <f t="shared" si="20"/>
        <v>450000</v>
      </c>
      <c r="C34" s="14">
        <v>746</v>
      </c>
      <c r="D34" s="9">
        <f t="shared" si="1"/>
        <v>1864.9999999999998</v>
      </c>
      <c r="E34" s="9">
        <f t="shared" si="18"/>
        <v>373</v>
      </c>
      <c r="G34" s="15">
        <f t="shared" si="15"/>
        <v>2500001</v>
      </c>
      <c r="H34" s="15">
        <f>H33+500000</f>
        <v>3000000</v>
      </c>
      <c r="I34" s="14">
        <v>1695</v>
      </c>
      <c r="J34" s="9">
        <f t="shared" si="2"/>
        <v>2542.5</v>
      </c>
      <c r="K34" s="9">
        <f t="shared" si="3"/>
        <v>1186.5</v>
      </c>
    </row>
    <row r="35" spans="1:11" x14ac:dyDescent="0.25">
      <c r="A35" s="14">
        <f t="shared" si="10"/>
        <v>450001</v>
      </c>
      <c r="B35" s="14">
        <f t="shared" si="20"/>
        <v>500000</v>
      </c>
      <c r="C35" s="14">
        <v>785</v>
      </c>
      <c r="D35" s="9">
        <f t="shared" si="1"/>
        <v>1962.5</v>
      </c>
      <c r="E35" s="9">
        <f t="shared" ref="E35:E79" si="21">C35/10*$E$2</f>
        <v>392.5</v>
      </c>
      <c r="G35" s="15">
        <f t="shared" si="15"/>
        <v>3000001</v>
      </c>
      <c r="H35" s="15">
        <f t="shared" ref="H35:H38" si="22">H34+500000</f>
        <v>3500000</v>
      </c>
      <c r="I35" s="14">
        <v>1841</v>
      </c>
      <c r="J35" s="9">
        <f t="shared" si="2"/>
        <v>2761.5</v>
      </c>
      <c r="K35" s="9">
        <f t="shared" si="3"/>
        <v>1288.7</v>
      </c>
    </row>
    <row r="36" spans="1:11" x14ac:dyDescent="0.25">
      <c r="A36" s="14">
        <f t="shared" si="10"/>
        <v>500001</v>
      </c>
      <c r="B36" s="14">
        <v>625000</v>
      </c>
      <c r="C36" s="14">
        <v>822</v>
      </c>
      <c r="D36" s="9">
        <f t="shared" si="1"/>
        <v>2055</v>
      </c>
      <c r="E36" s="9">
        <f t="shared" si="21"/>
        <v>411</v>
      </c>
      <c r="G36" s="15">
        <f t="shared" si="15"/>
        <v>3500001</v>
      </c>
      <c r="H36" s="15">
        <f t="shared" si="22"/>
        <v>4000000</v>
      </c>
      <c r="I36" s="14">
        <v>1971</v>
      </c>
      <c r="J36" s="9">
        <f t="shared" si="2"/>
        <v>2956.5</v>
      </c>
      <c r="K36" s="9">
        <f t="shared" si="3"/>
        <v>1379.7</v>
      </c>
    </row>
    <row r="37" spans="1:11" x14ac:dyDescent="0.25">
      <c r="A37" s="15">
        <f>B36+1</f>
        <v>625001</v>
      </c>
      <c r="B37" s="15">
        <f>B36+125000</f>
        <v>750000</v>
      </c>
      <c r="C37" s="14">
        <v>913</v>
      </c>
      <c r="D37" s="9">
        <f t="shared" si="1"/>
        <v>2282.5</v>
      </c>
      <c r="E37" s="9">
        <f t="shared" si="21"/>
        <v>456.5</v>
      </c>
      <c r="G37" s="15">
        <f t="shared" si="15"/>
        <v>4000001</v>
      </c>
      <c r="H37" s="15">
        <f t="shared" si="22"/>
        <v>4500000</v>
      </c>
      <c r="I37" s="14">
        <v>2089</v>
      </c>
      <c r="J37" s="9">
        <f t="shared" si="2"/>
        <v>3133.5</v>
      </c>
      <c r="K37" s="9">
        <f t="shared" si="3"/>
        <v>1462.3</v>
      </c>
    </row>
    <row r="38" spans="1:11" x14ac:dyDescent="0.25">
      <c r="A38" s="15">
        <f t="shared" ref="A38:A79" si="23">B37+1</f>
        <v>750001</v>
      </c>
      <c r="B38" s="15">
        <f t="shared" ref="B38:B39" si="24">B37+125000</f>
        <v>875000</v>
      </c>
      <c r="C38" s="14">
        <v>991</v>
      </c>
      <c r="D38" s="9">
        <f t="shared" si="1"/>
        <v>2477.5</v>
      </c>
      <c r="E38" s="9">
        <f t="shared" si="21"/>
        <v>495.5</v>
      </c>
      <c r="G38" s="15">
        <f t="shared" si="15"/>
        <v>4500001</v>
      </c>
      <c r="H38" s="15">
        <f t="shared" si="22"/>
        <v>5000000</v>
      </c>
      <c r="I38" s="14">
        <v>2196</v>
      </c>
      <c r="J38" s="9">
        <f t="shared" si="2"/>
        <v>3294</v>
      </c>
      <c r="K38" s="9">
        <f t="shared" si="3"/>
        <v>1537.2</v>
      </c>
    </row>
    <row r="39" spans="1:11" x14ac:dyDescent="0.25">
      <c r="A39" s="15">
        <f t="shared" si="23"/>
        <v>875001</v>
      </c>
      <c r="B39" s="15">
        <f t="shared" si="24"/>
        <v>1000000</v>
      </c>
      <c r="C39" s="14">
        <v>1062</v>
      </c>
      <c r="D39" s="9">
        <f t="shared" si="1"/>
        <v>2655</v>
      </c>
      <c r="E39" s="9">
        <f t="shared" si="21"/>
        <v>531</v>
      </c>
      <c r="G39" s="15">
        <f t="shared" si="15"/>
        <v>5000001</v>
      </c>
      <c r="H39" s="15">
        <f>H38+2500000</f>
        <v>7500000</v>
      </c>
      <c r="I39" s="14">
        <v>2566</v>
      </c>
      <c r="J39" s="9">
        <f t="shared" si="2"/>
        <v>3849.0000000000005</v>
      </c>
      <c r="K39" s="9">
        <f t="shared" si="3"/>
        <v>1796.2000000000003</v>
      </c>
    </row>
    <row r="40" spans="1:11" x14ac:dyDescent="0.25">
      <c r="A40" s="15">
        <f t="shared" si="23"/>
        <v>1000001</v>
      </c>
      <c r="B40" s="15">
        <f>B39+250000</f>
        <v>1250000</v>
      </c>
      <c r="C40" s="14">
        <v>1126</v>
      </c>
      <c r="D40" s="9">
        <f t="shared" si="1"/>
        <v>2815</v>
      </c>
      <c r="E40" s="9">
        <f t="shared" si="21"/>
        <v>563</v>
      </c>
      <c r="G40" s="15">
        <f t="shared" si="15"/>
        <v>7500001</v>
      </c>
      <c r="H40" s="15">
        <f t="shared" ref="H40:H46" si="25">H39+2500000</f>
        <v>10000000</v>
      </c>
      <c r="I40" s="14">
        <v>2983</v>
      </c>
      <c r="J40" s="9">
        <f t="shared" si="2"/>
        <v>4474.5</v>
      </c>
      <c r="K40" s="9">
        <f t="shared" si="3"/>
        <v>2088.1</v>
      </c>
    </row>
    <row r="41" spans="1:11" x14ac:dyDescent="0.25">
      <c r="A41" s="15">
        <f t="shared" si="23"/>
        <v>1250001</v>
      </c>
      <c r="B41" s="15">
        <f t="shared" ref="B41:B45" si="26">B40+250000</f>
        <v>1500000</v>
      </c>
      <c r="C41" s="14">
        <v>1249</v>
      </c>
      <c r="D41" s="9">
        <f t="shared" si="1"/>
        <v>3122.5</v>
      </c>
      <c r="E41" s="9">
        <f t="shared" si="21"/>
        <v>624.5</v>
      </c>
      <c r="G41" s="15">
        <f t="shared" si="15"/>
        <v>10000001</v>
      </c>
      <c r="H41" s="15">
        <f t="shared" si="25"/>
        <v>12500000</v>
      </c>
      <c r="I41" s="14">
        <v>3321</v>
      </c>
      <c r="J41" s="9">
        <f t="shared" si="2"/>
        <v>4981.5</v>
      </c>
      <c r="K41" s="9">
        <f t="shared" si="3"/>
        <v>2324.7000000000003</v>
      </c>
    </row>
    <row r="42" spans="1:11" x14ac:dyDescent="0.25">
      <c r="A42" s="15">
        <f t="shared" si="23"/>
        <v>1500001</v>
      </c>
      <c r="B42" s="15">
        <f t="shared" si="26"/>
        <v>1750000</v>
      </c>
      <c r="C42" s="14">
        <v>1357</v>
      </c>
      <c r="D42" s="9">
        <f t="shared" si="1"/>
        <v>3392.4999999999995</v>
      </c>
      <c r="E42" s="9">
        <f t="shared" si="21"/>
        <v>678.5</v>
      </c>
      <c r="G42" s="15">
        <f t="shared" si="15"/>
        <v>12500001</v>
      </c>
      <c r="H42" s="15">
        <f t="shared" si="25"/>
        <v>15000000</v>
      </c>
      <c r="I42" s="14">
        <v>3603</v>
      </c>
      <c r="J42" s="9">
        <f t="shared" si="2"/>
        <v>5404.5</v>
      </c>
      <c r="K42" s="9">
        <f t="shared" si="3"/>
        <v>2522.1</v>
      </c>
    </row>
    <row r="43" spans="1:11" x14ac:dyDescent="0.25">
      <c r="A43" s="15">
        <f t="shared" si="23"/>
        <v>1750001</v>
      </c>
      <c r="B43" s="15">
        <f t="shared" si="26"/>
        <v>2000000</v>
      </c>
      <c r="C43" s="14">
        <v>1455</v>
      </c>
      <c r="D43" s="9">
        <f t="shared" si="1"/>
        <v>3637.5</v>
      </c>
      <c r="E43" s="9">
        <f t="shared" si="21"/>
        <v>727.5</v>
      </c>
      <c r="G43" s="15">
        <f t="shared" si="15"/>
        <v>15000001</v>
      </c>
      <c r="H43" s="15">
        <f t="shared" si="25"/>
        <v>17500000</v>
      </c>
      <c r="I43" s="14">
        <v>3843</v>
      </c>
      <c r="J43" s="9">
        <f t="shared" si="2"/>
        <v>5764.5</v>
      </c>
      <c r="K43" s="9">
        <f t="shared" si="3"/>
        <v>2690.1</v>
      </c>
    </row>
    <row r="44" spans="1:11" x14ac:dyDescent="0.25">
      <c r="A44" s="15">
        <f t="shared" si="23"/>
        <v>2000001</v>
      </c>
      <c r="B44" s="15">
        <f t="shared" si="26"/>
        <v>2250000</v>
      </c>
      <c r="C44" s="14">
        <v>1542</v>
      </c>
      <c r="D44" s="9">
        <f t="shared" si="1"/>
        <v>3854.9999999999995</v>
      </c>
      <c r="E44" s="9">
        <f t="shared" si="21"/>
        <v>771</v>
      </c>
      <c r="G44" s="15">
        <f t="shared" si="15"/>
        <v>17500001</v>
      </c>
      <c r="H44" s="15">
        <f t="shared" si="25"/>
        <v>20000000</v>
      </c>
      <c r="I44" s="14">
        <v>4050</v>
      </c>
      <c r="J44" s="9">
        <f t="shared" si="2"/>
        <v>6075</v>
      </c>
      <c r="K44" s="9">
        <f t="shared" si="3"/>
        <v>2835</v>
      </c>
    </row>
    <row r="45" spans="1:11" x14ac:dyDescent="0.25">
      <c r="A45" s="15">
        <f t="shared" si="23"/>
        <v>2250001</v>
      </c>
      <c r="B45" s="15">
        <f t="shared" si="26"/>
        <v>2500000</v>
      </c>
      <c r="C45" s="14">
        <v>1621</v>
      </c>
      <c r="D45" s="9">
        <f t="shared" si="1"/>
        <v>4052.5</v>
      </c>
      <c r="E45" s="9">
        <f t="shared" si="21"/>
        <v>810.5</v>
      </c>
      <c r="G45" s="15">
        <f t="shared" si="15"/>
        <v>20000001</v>
      </c>
      <c r="H45" s="15">
        <f t="shared" si="25"/>
        <v>22500000</v>
      </c>
      <c r="I45" s="14">
        <v>4314</v>
      </c>
      <c r="J45" s="9">
        <f t="shared" si="2"/>
        <v>6471</v>
      </c>
      <c r="K45" s="9">
        <f t="shared" si="3"/>
        <v>3019.7999999999997</v>
      </c>
    </row>
    <row r="46" spans="1:11" x14ac:dyDescent="0.25">
      <c r="A46" s="15">
        <f t="shared" si="23"/>
        <v>2500001</v>
      </c>
      <c r="B46" s="15">
        <f>B45+500000</f>
        <v>3000000</v>
      </c>
      <c r="C46" s="14">
        <v>1695</v>
      </c>
      <c r="D46" s="9">
        <f t="shared" si="1"/>
        <v>4237.5</v>
      </c>
      <c r="E46" s="9">
        <f t="shared" si="21"/>
        <v>847.5</v>
      </c>
      <c r="G46" s="15">
        <f t="shared" si="15"/>
        <v>22500001</v>
      </c>
      <c r="H46" s="15">
        <f t="shared" si="25"/>
        <v>25000000</v>
      </c>
      <c r="I46" s="14">
        <v>4558</v>
      </c>
      <c r="J46" s="9">
        <f t="shared" si="2"/>
        <v>6837</v>
      </c>
      <c r="K46" s="9">
        <f t="shared" si="3"/>
        <v>3190.6</v>
      </c>
    </row>
    <row r="47" spans="1:11" x14ac:dyDescent="0.25">
      <c r="A47" s="15">
        <f t="shared" si="23"/>
        <v>3000001</v>
      </c>
      <c r="B47" s="15">
        <f t="shared" ref="B47:B50" si="27">B46+500000</f>
        <v>3500000</v>
      </c>
      <c r="C47" s="14">
        <v>1841</v>
      </c>
      <c r="D47" s="9">
        <f t="shared" si="1"/>
        <v>4602.5</v>
      </c>
      <c r="E47" s="9">
        <f t="shared" si="21"/>
        <v>920.5</v>
      </c>
      <c r="G47" s="15">
        <f t="shared" si="15"/>
        <v>25000001</v>
      </c>
      <c r="H47" s="15">
        <f>H46+5000000</f>
        <v>30000000</v>
      </c>
      <c r="I47" s="14">
        <v>5014</v>
      </c>
      <c r="J47" s="9">
        <f t="shared" si="2"/>
        <v>7521</v>
      </c>
      <c r="K47" s="9">
        <f t="shared" si="3"/>
        <v>3509.7999999999997</v>
      </c>
    </row>
    <row r="48" spans="1:11" x14ac:dyDescent="0.25">
      <c r="A48" s="15">
        <f t="shared" si="23"/>
        <v>3500001</v>
      </c>
      <c r="B48" s="15">
        <f t="shared" si="27"/>
        <v>4000000</v>
      </c>
      <c r="C48" s="14">
        <v>1971</v>
      </c>
      <c r="D48" s="9">
        <f t="shared" si="1"/>
        <v>4927.5</v>
      </c>
      <c r="E48" s="9">
        <f t="shared" si="21"/>
        <v>985.5</v>
      </c>
      <c r="G48" s="15">
        <f t="shared" si="15"/>
        <v>30000001</v>
      </c>
      <c r="H48" s="15">
        <f>H47+5000000</f>
        <v>35000000</v>
      </c>
      <c r="I48" s="14">
        <v>5433</v>
      </c>
      <c r="J48" s="9">
        <f t="shared" si="2"/>
        <v>8149.4999999999991</v>
      </c>
      <c r="K48" s="9">
        <f t="shared" si="3"/>
        <v>3803.0999999999995</v>
      </c>
    </row>
    <row r="49" spans="1:11" x14ac:dyDescent="0.25">
      <c r="A49" s="15">
        <f t="shared" si="23"/>
        <v>4000001</v>
      </c>
      <c r="B49" s="15">
        <f t="shared" si="27"/>
        <v>4500000</v>
      </c>
      <c r="C49" s="14">
        <v>2089</v>
      </c>
      <c r="D49" s="9">
        <f t="shared" si="1"/>
        <v>5222.5</v>
      </c>
      <c r="E49" s="9">
        <f t="shared" si="21"/>
        <v>1044.5</v>
      </c>
      <c r="G49" s="15">
        <f t="shared" si="15"/>
        <v>35000001</v>
      </c>
      <c r="H49" s="15">
        <f t="shared" ref="H49:H67" si="28">H48+5000000</f>
        <v>40000000</v>
      </c>
      <c r="I49" s="14">
        <v>5823</v>
      </c>
      <c r="J49" s="9">
        <f t="shared" si="2"/>
        <v>8734.5</v>
      </c>
      <c r="K49" s="9">
        <f t="shared" si="3"/>
        <v>4076.0999999999995</v>
      </c>
    </row>
    <row r="50" spans="1:11" x14ac:dyDescent="0.25">
      <c r="A50" s="15">
        <f t="shared" si="23"/>
        <v>4500001</v>
      </c>
      <c r="B50" s="15">
        <f t="shared" si="27"/>
        <v>5000000</v>
      </c>
      <c r="C50" s="14">
        <v>2196</v>
      </c>
      <c r="D50" s="9">
        <f t="shared" si="1"/>
        <v>5490</v>
      </c>
      <c r="E50" s="9">
        <f t="shared" si="21"/>
        <v>1098</v>
      </c>
      <c r="G50" s="15">
        <f t="shared" si="15"/>
        <v>40000001</v>
      </c>
      <c r="H50" s="15">
        <f t="shared" si="28"/>
        <v>45000000</v>
      </c>
      <c r="I50" s="14">
        <v>6187</v>
      </c>
      <c r="J50" s="9">
        <f t="shared" si="2"/>
        <v>9280.5</v>
      </c>
      <c r="K50" s="9">
        <f t="shared" si="3"/>
        <v>4330.9000000000005</v>
      </c>
    </row>
    <row r="51" spans="1:11" x14ac:dyDescent="0.25">
      <c r="A51" s="15">
        <f t="shared" si="23"/>
        <v>5000001</v>
      </c>
      <c r="B51" s="15">
        <f>B50+2500000</f>
        <v>7500000</v>
      </c>
      <c r="C51" s="14">
        <v>2566</v>
      </c>
      <c r="D51" s="9">
        <f t="shared" si="1"/>
        <v>6415.0000000000009</v>
      </c>
      <c r="E51" s="9">
        <f t="shared" si="21"/>
        <v>1283</v>
      </c>
      <c r="G51" s="15">
        <f t="shared" si="15"/>
        <v>45000001</v>
      </c>
      <c r="H51" s="15">
        <f t="shared" si="28"/>
        <v>50000000</v>
      </c>
      <c r="I51" s="14">
        <v>6532</v>
      </c>
      <c r="J51" s="9">
        <f t="shared" si="2"/>
        <v>9798</v>
      </c>
      <c r="K51" s="9">
        <f t="shared" si="3"/>
        <v>4572.4000000000005</v>
      </c>
    </row>
    <row r="52" spans="1:11" x14ac:dyDescent="0.25">
      <c r="A52" s="15">
        <f t="shared" si="23"/>
        <v>7500001</v>
      </c>
      <c r="B52" s="15">
        <f t="shared" ref="B52:B58" si="29">B51+2500000</f>
        <v>10000000</v>
      </c>
      <c r="C52" s="14">
        <v>2983</v>
      </c>
      <c r="D52" s="9">
        <f t="shared" si="1"/>
        <v>7457.5</v>
      </c>
      <c r="E52" s="9">
        <f t="shared" si="21"/>
        <v>1491.5</v>
      </c>
      <c r="G52" s="15">
        <f t="shared" si="15"/>
        <v>50000001</v>
      </c>
      <c r="H52" s="15">
        <f t="shared" si="28"/>
        <v>55000000</v>
      </c>
      <c r="I52" s="15">
        <f>I51+258</f>
        <v>6790</v>
      </c>
      <c r="J52" s="9">
        <f t="shared" si="2"/>
        <v>10185</v>
      </c>
      <c r="K52" s="9">
        <f t="shared" si="3"/>
        <v>4753</v>
      </c>
    </row>
    <row r="53" spans="1:11" x14ac:dyDescent="0.25">
      <c r="A53" s="15">
        <f t="shared" si="23"/>
        <v>10000001</v>
      </c>
      <c r="B53" s="15">
        <f t="shared" si="29"/>
        <v>12500000</v>
      </c>
      <c r="C53" s="14">
        <v>3321</v>
      </c>
      <c r="D53" s="9">
        <f t="shared" si="1"/>
        <v>8302.5</v>
      </c>
      <c r="E53" s="9">
        <f t="shared" si="21"/>
        <v>1660.5</v>
      </c>
      <c r="G53" s="15">
        <f t="shared" si="15"/>
        <v>55000001</v>
      </c>
      <c r="H53" s="15">
        <f t="shared" si="28"/>
        <v>60000000</v>
      </c>
      <c r="I53" s="15">
        <f t="shared" ref="I53:I67" si="30">I52+258</f>
        <v>7048</v>
      </c>
      <c r="J53" s="9">
        <f t="shared" si="2"/>
        <v>10572</v>
      </c>
      <c r="K53" s="9">
        <f t="shared" si="3"/>
        <v>4933.5999999999995</v>
      </c>
    </row>
    <row r="54" spans="1:11" x14ac:dyDescent="0.25">
      <c r="A54" s="15">
        <f t="shared" si="23"/>
        <v>12500001</v>
      </c>
      <c r="B54" s="15">
        <f t="shared" si="29"/>
        <v>15000000</v>
      </c>
      <c r="C54" s="14">
        <v>3603</v>
      </c>
      <c r="D54" s="9">
        <f t="shared" si="1"/>
        <v>9007.5</v>
      </c>
      <c r="E54" s="9">
        <f t="shared" si="21"/>
        <v>1801.5</v>
      </c>
      <c r="G54" s="15">
        <f t="shared" si="15"/>
        <v>60000001</v>
      </c>
      <c r="H54" s="15">
        <f t="shared" si="28"/>
        <v>65000000</v>
      </c>
      <c r="I54" s="15">
        <f t="shared" si="30"/>
        <v>7306</v>
      </c>
      <c r="J54" s="9">
        <f t="shared" si="2"/>
        <v>10959</v>
      </c>
      <c r="K54" s="9">
        <f t="shared" si="3"/>
        <v>5114.2</v>
      </c>
    </row>
    <row r="55" spans="1:11" x14ac:dyDescent="0.25">
      <c r="A55" s="15">
        <f t="shared" si="23"/>
        <v>15000001</v>
      </c>
      <c r="B55" s="15">
        <f t="shared" si="29"/>
        <v>17500000</v>
      </c>
      <c r="C55" s="14">
        <v>3843</v>
      </c>
      <c r="D55" s="9">
        <f t="shared" si="1"/>
        <v>9607.5</v>
      </c>
      <c r="E55" s="9">
        <f t="shared" si="21"/>
        <v>1921.5</v>
      </c>
      <c r="G55" s="15">
        <f t="shared" si="15"/>
        <v>65000001</v>
      </c>
      <c r="H55" s="15">
        <f t="shared" si="28"/>
        <v>70000000</v>
      </c>
      <c r="I55" s="15">
        <f t="shared" si="30"/>
        <v>7564</v>
      </c>
      <c r="J55" s="9">
        <f t="shared" si="2"/>
        <v>11346</v>
      </c>
      <c r="K55" s="9">
        <f t="shared" si="3"/>
        <v>5294.8</v>
      </c>
    </row>
    <row r="56" spans="1:11" x14ac:dyDescent="0.25">
      <c r="A56" s="15">
        <f t="shared" si="23"/>
        <v>17500001</v>
      </c>
      <c r="B56" s="15">
        <f t="shared" si="29"/>
        <v>20000000</v>
      </c>
      <c r="C56" s="14">
        <v>4050</v>
      </c>
      <c r="D56" s="9">
        <f t="shared" si="1"/>
        <v>10125</v>
      </c>
      <c r="E56" s="9">
        <f t="shared" si="21"/>
        <v>2025</v>
      </c>
      <c r="G56" s="15">
        <f t="shared" si="15"/>
        <v>70000001</v>
      </c>
      <c r="H56" s="15">
        <f t="shared" si="28"/>
        <v>75000000</v>
      </c>
      <c r="I56" s="15">
        <f t="shared" si="30"/>
        <v>7822</v>
      </c>
      <c r="J56" s="9">
        <f t="shared" si="2"/>
        <v>11733</v>
      </c>
      <c r="K56" s="9">
        <f t="shared" si="3"/>
        <v>5475.4000000000005</v>
      </c>
    </row>
    <row r="57" spans="1:11" x14ac:dyDescent="0.25">
      <c r="A57" s="15">
        <f t="shared" si="23"/>
        <v>20000001</v>
      </c>
      <c r="B57" s="15">
        <f t="shared" si="29"/>
        <v>22500000</v>
      </c>
      <c r="C57" s="14">
        <v>4314</v>
      </c>
      <c r="D57" s="9">
        <f t="shared" si="1"/>
        <v>10785</v>
      </c>
      <c r="E57" s="9">
        <f t="shared" si="21"/>
        <v>2157</v>
      </c>
      <c r="G57" s="15">
        <f t="shared" si="15"/>
        <v>75000001</v>
      </c>
      <c r="H57" s="15">
        <f t="shared" si="28"/>
        <v>80000000</v>
      </c>
      <c r="I57" s="15">
        <f t="shared" si="30"/>
        <v>8080</v>
      </c>
      <c r="J57" s="9">
        <f t="shared" si="2"/>
        <v>12120</v>
      </c>
      <c r="K57" s="9">
        <f t="shared" si="3"/>
        <v>5656</v>
      </c>
    </row>
    <row r="58" spans="1:11" x14ac:dyDescent="0.25">
      <c r="A58" s="15">
        <f t="shared" si="23"/>
        <v>22500001</v>
      </c>
      <c r="B58" s="15">
        <f t="shared" si="29"/>
        <v>25000000</v>
      </c>
      <c r="C58" s="14">
        <v>4558</v>
      </c>
      <c r="D58" s="9">
        <f t="shared" si="1"/>
        <v>11395</v>
      </c>
      <c r="E58" s="9">
        <f t="shared" si="21"/>
        <v>2279</v>
      </c>
      <c r="G58" s="15">
        <f t="shared" si="15"/>
        <v>80000001</v>
      </c>
      <c r="H58" s="15">
        <f t="shared" si="28"/>
        <v>85000000</v>
      </c>
      <c r="I58" s="15">
        <f t="shared" si="30"/>
        <v>8338</v>
      </c>
      <c r="J58" s="9">
        <f t="shared" si="2"/>
        <v>12507</v>
      </c>
      <c r="K58" s="9">
        <f t="shared" si="3"/>
        <v>5836.5999999999995</v>
      </c>
    </row>
    <row r="59" spans="1:11" x14ac:dyDescent="0.25">
      <c r="A59" s="15">
        <f t="shared" si="23"/>
        <v>25000001</v>
      </c>
      <c r="B59" s="15">
        <f>B58+5000000</f>
        <v>30000000</v>
      </c>
      <c r="C59" s="14">
        <v>5014</v>
      </c>
      <c r="D59" s="9">
        <f t="shared" si="1"/>
        <v>12535</v>
      </c>
      <c r="E59" s="9">
        <f t="shared" si="21"/>
        <v>2507</v>
      </c>
      <c r="G59" s="15">
        <f t="shared" si="15"/>
        <v>85000001</v>
      </c>
      <c r="H59" s="15">
        <f t="shared" si="28"/>
        <v>90000000</v>
      </c>
      <c r="I59" s="15">
        <f t="shared" si="30"/>
        <v>8596</v>
      </c>
      <c r="J59" s="9">
        <f t="shared" si="2"/>
        <v>12894</v>
      </c>
      <c r="K59" s="9">
        <f t="shared" si="3"/>
        <v>6017.2</v>
      </c>
    </row>
    <row r="60" spans="1:11" x14ac:dyDescent="0.25">
      <c r="A60" s="15">
        <f t="shared" si="23"/>
        <v>30000001</v>
      </c>
      <c r="B60" s="15">
        <f>B59+5000000</f>
        <v>35000000</v>
      </c>
      <c r="C60" s="14">
        <v>5433</v>
      </c>
      <c r="D60" s="9">
        <f t="shared" si="1"/>
        <v>13582.499999999998</v>
      </c>
      <c r="E60" s="9">
        <f t="shared" si="21"/>
        <v>2716.5</v>
      </c>
      <c r="G60" s="15">
        <f t="shared" si="15"/>
        <v>90000001</v>
      </c>
      <c r="H60" s="15">
        <f t="shared" si="28"/>
        <v>95000000</v>
      </c>
      <c r="I60" s="15">
        <f t="shared" si="30"/>
        <v>8854</v>
      </c>
      <c r="J60" s="9">
        <f t="shared" si="2"/>
        <v>13281</v>
      </c>
      <c r="K60" s="9">
        <f t="shared" si="3"/>
        <v>6197.8</v>
      </c>
    </row>
    <row r="61" spans="1:11" x14ac:dyDescent="0.25">
      <c r="A61" s="15">
        <f t="shared" si="23"/>
        <v>35000001</v>
      </c>
      <c r="B61" s="15">
        <f t="shared" ref="B61:B79" si="31">B60+5000000</f>
        <v>40000000</v>
      </c>
      <c r="C61" s="14">
        <v>5823</v>
      </c>
      <c r="D61" s="9">
        <f t="shared" si="1"/>
        <v>14557.499999999998</v>
      </c>
      <c r="E61" s="9">
        <f t="shared" si="21"/>
        <v>2911.5</v>
      </c>
      <c r="G61" s="15">
        <f t="shared" si="15"/>
        <v>95000001</v>
      </c>
      <c r="H61" s="15">
        <f t="shared" si="28"/>
        <v>100000000</v>
      </c>
      <c r="I61" s="15">
        <f t="shared" si="30"/>
        <v>9112</v>
      </c>
      <c r="J61" s="9">
        <f t="shared" si="2"/>
        <v>13668</v>
      </c>
      <c r="K61" s="9">
        <f t="shared" si="3"/>
        <v>6378.4000000000005</v>
      </c>
    </row>
    <row r="62" spans="1:11" x14ac:dyDescent="0.25">
      <c r="A62" s="15">
        <f t="shared" si="23"/>
        <v>40000001</v>
      </c>
      <c r="B62" s="15">
        <f t="shared" si="31"/>
        <v>45000000</v>
      </c>
      <c r="C62" s="14">
        <v>6187</v>
      </c>
      <c r="D62" s="9">
        <f t="shared" si="1"/>
        <v>15467.500000000002</v>
      </c>
      <c r="E62" s="9">
        <f t="shared" si="21"/>
        <v>3093.5</v>
      </c>
      <c r="G62" s="15">
        <f t="shared" si="15"/>
        <v>100000001</v>
      </c>
      <c r="H62" s="15">
        <f t="shared" si="28"/>
        <v>105000000</v>
      </c>
      <c r="I62" s="15">
        <f t="shared" si="30"/>
        <v>9370</v>
      </c>
      <c r="J62" s="9">
        <f t="shared" si="2"/>
        <v>14055</v>
      </c>
      <c r="K62" s="9">
        <f t="shared" si="3"/>
        <v>6559</v>
      </c>
    </row>
    <row r="63" spans="1:11" x14ac:dyDescent="0.25">
      <c r="A63" s="15">
        <f t="shared" si="23"/>
        <v>45000001</v>
      </c>
      <c r="B63" s="15">
        <f t="shared" si="31"/>
        <v>50000000</v>
      </c>
      <c r="C63" s="14">
        <v>6532</v>
      </c>
      <c r="D63" s="9">
        <f t="shared" si="1"/>
        <v>16330.000000000002</v>
      </c>
      <c r="E63" s="9">
        <f t="shared" si="21"/>
        <v>3266</v>
      </c>
      <c r="G63" s="15">
        <f t="shared" si="15"/>
        <v>105000001</v>
      </c>
      <c r="H63" s="15">
        <f t="shared" si="28"/>
        <v>110000000</v>
      </c>
      <c r="I63" s="15">
        <f t="shared" si="30"/>
        <v>9628</v>
      </c>
      <c r="J63" s="9">
        <f t="shared" si="2"/>
        <v>14442</v>
      </c>
      <c r="K63" s="9">
        <f t="shared" si="3"/>
        <v>6739.5999999999995</v>
      </c>
    </row>
    <row r="64" spans="1:11" x14ac:dyDescent="0.25">
      <c r="A64" s="15">
        <f t="shared" si="23"/>
        <v>50000001</v>
      </c>
      <c r="B64" s="15">
        <f t="shared" si="31"/>
        <v>55000000</v>
      </c>
      <c r="C64" s="15">
        <f>C63+258</f>
        <v>6790</v>
      </c>
      <c r="D64" s="9">
        <f t="shared" si="1"/>
        <v>16975</v>
      </c>
      <c r="E64" s="9">
        <f t="shared" si="21"/>
        <v>3395</v>
      </c>
      <c r="G64" s="15">
        <f t="shared" si="15"/>
        <v>110000001</v>
      </c>
      <c r="H64" s="15">
        <f t="shared" si="28"/>
        <v>115000000</v>
      </c>
      <c r="I64" s="15">
        <f t="shared" si="30"/>
        <v>9886</v>
      </c>
      <c r="J64" s="9">
        <f t="shared" si="2"/>
        <v>14829</v>
      </c>
      <c r="K64" s="9">
        <f t="shared" si="3"/>
        <v>6920.2</v>
      </c>
    </row>
    <row r="65" spans="1:11" x14ac:dyDescent="0.25">
      <c r="A65" s="15">
        <f t="shared" si="23"/>
        <v>55000001</v>
      </c>
      <c r="B65" s="15">
        <f t="shared" si="31"/>
        <v>60000000</v>
      </c>
      <c r="C65" s="15">
        <f t="shared" ref="C65:C79" si="32">C64+258</f>
        <v>7048</v>
      </c>
      <c r="D65" s="9">
        <f t="shared" si="1"/>
        <v>17620</v>
      </c>
      <c r="E65" s="9">
        <f t="shared" si="21"/>
        <v>3524</v>
      </c>
      <c r="G65" s="15">
        <f t="shared" si="15"/>
        <v>115000001</v>
      </c>
      <c r="H65" s="15">
        <f t="shared" si="28"/>
        <v>120000000</v>
      </c>
      <c r="I65" s="15">
        <f t="shared" si="30"/>
        <v>10144</v>
      </c>
      <c r="J65" s="9">
        <f t="shared" si="2"/>
        <v>15216</v>
      </c>
      <c r="K65" s="9">
        <f t="shared" si="3"/>
        <v>7100.8</v>
      </c>
    </row>
    <row r="66" spans="1:11" x14ac:dyDescent="0.25">
      <c r="A66" s="15">
        <f t="shared" si="23"/>
        <v>60000001</v>
      </c>
      <c r="B66" s="15">
        <f t="shared" si="31"/>
        <v>65000000</v>
      </c>
      <c r="C66" s="15">
        <f t="shared" si="32"/>
        <v>7306</v>
      </c>
      <c r="D66" s="9">
        <f t="shared" si="1"/>
        <v>18265</v>
      </c>
      <c r="E66" s="9">
        <f t="shared" si="21"/>
        <v>3653</v>
      </c>
      <c r="G66" s="15">
        <f t="shared" si="15"/>
        <v>120000001</v>
      </c>
      <c r="H66" s="15">
        <f t="shared" si="28"/>
        <v>125000000</v>
      </c>
      <c r="I66" s="15">
        <f t="shared" si="30"/>
        <v>10402</v>
      </c>
      <c r="J66" s="9">
        <f t="shared" si="2"/>
        <v>15603</v>
      </c>
      <c r="K66" s="9">
        <f t="shared" si="3"/>
        <v>7281.4000000000005</v>
      </c>
    </row>
    <row r="67" spans="1:11" x14ac:dyDescent="0.25">
      <c r="A67" s="15">
        <f t="shared" si="23"/>
        <v>65000001</v>
      </c>
      <c r="B67" s="15">
        <f t="shared" si="31"/>
        <v>70000000</v>
      </c>
      <c r="C67" s="15">
        <f t="shared" si="32"/>
        <v>7564</v>
      </c>
      <c r="D67" s="9">
        <f t="shared" ref="D67:D79" si="33">C67/10*$D$2</f>
        <v>18910</v>
      </c>
      <c r="E67" s="9">
        <f t="shared" si="21"/>
        <v>3782</v>
      </c>
      <c r="G67" s="15">
        <f t="shared" si="15"/>
        <v>125000001</v>
      </c>
      <c r="H67" s="15">
        <f t="shared" si="28"/>
        <v>130000000</v>
      </c>
      <c r="I67" s="15">
        <f t="shared" si="30"/>
        <v>10660</v>
      </c>
      <c r="J67" s="9">
        <f t="shared" si="2"/>
        <v>15990</v>
      </c>
      <c r="K67" s="9">
        <f t="shared" si="3"/>
        <v>7462</v>
      </c>
    </row>
    <row r="68" spans="1:11" x14ac:dyDescent="0.25">
      <c r="A68" s="15">
        <f t="shared" si="23"/>
        <v>70000001</v>
      </c>
      <c r="B68" s="15">
        <f t="shared" si="31"/>
        <v>75000000</v>
      </c>
      <c r="C68" s="15">
        <f t="shared" si="32"/>
        <v>7822</v>
      </c>
      <c r="D68" s="9">
        <f t="shared" si="33"/>
        <v>19555</v>
      </c>
      <c r="E68" s="9">
        <f t="shared" si="21"/>
        <v>3911</v>
      </c>
    </row>
    <row r="69" spans="1:11" x14ac:dyDescent="0.25">
      <c r="A69" s="15">
        <f t="shared" si="23"/>
        <v>75000001</v>
      </c>
      <c r="B69" s="15">
        <f t="shared" si="31"/>
        <v>80000000</v>
      </c>
      <c r="C69" s="15">
        <f t="shared" si="32"/>
        <v>8080</v>
      </c>
      <c r="D69" s="9">
        <f t="shared" si="33"/>
        <v>20200</v>
      </c>
      <c r="E69" s="9">
        <f t="shared" si="21"/>
        <v>4040</v>
      </c>
    </row>
    <row r="70" spans="1:11" x14ac:dyDescent="0.25">
      <c r="A70" s="15">
        <f t="shared" si="23"/>
        <v>80000001</v>
      </c>
      <c r="B70" s="15">
        <f t="shared" si="31"/>
        <v>85000000</v>
      </c>
      <c r="C70" s="15">
        <f t="shared" si="32"/>
        <v>8338</v>
      </c>
      <c r="D70" s="9">
        <f t="shared" si="33"/>
        <v>20845</v>
      </c>
      <c r="E70" s="9">
        <f t="shared" si="21"/>
        <v>4169</v>
      </c>
    </row>
    <row r="71" spans="1:11" x14ac:dyDescent="0.25">
      <c r="A71" s="15">
        <f t="shared" si="23"/>
        <v>85000001</v>
      </c>
      <c r="B71" s="15">
        <f t="shared" si="31"/>
        <v>90000000</v>
      </c>
      <c r="C71" s="15">
        <f t="shared" si="32"/>
        <v>8596</v>
      </c>
      <c r="D71" s="9">
        <f t="shared" si="33"/>
        <v>21490</v>
      </c>
      <c r="E71" s="9">
        <f t="shared" si="21"/>
        <v>4298</v>
      </c>
    </row>
    <row r="72" spans="1:11" x14ac:dyDescent="0.25">
      <c r="A72" s="15">
        <f t="shared" si="23"/>
        <v>90000001</v>
      </c>
      <c r="B72" s="15">
        <f t="shared" si="31"/>
        <v>95000000</v>
      </c>
      <c r="C72" s="15">
        <f t="shared" si="32"/>
        <v>8854</v>
      </c>
      <c r="D72" s="9">
        <f t="shared" si="33"/>
        <v>22135</v>
      </c>
      <c r="E72" s="9">
        <f t="shared" si="21"/>
        <v>4427</v>
      </c>
    </row>
    <row r="73" spans="1:11" x14ac:dyDescent="0.25">
      <c r="A73" s="15">
        <f t="shared" si="23"/>
        <v>95000001</v>
      </c>
      <c r="B73" s="15">
        <f t="shared" si="31"/>
        <v>100000000</v>
      </c>
      <c r="C73" s="15">
        <f t="shared" si="32"/>
        <v>9112</v>
      </c>
      <c r="D73" s="9">
        <f t="shared" si="33"/>
        <v>22780</v>
      </c>
      <c r="E73" s="9">
        <f t="shared" si="21"/>
        <v>4556</v>
      </c>
    </row>
    <row r="74" spans="1:11" x14ac:dyDescent="0.25">
      <c r="A74" s="15">
        <f t="shared" si="23"/>
        <v>100000001</v>
      </c>
      <c r="B74" s="15">
        <f t="shared" si="31"/>
        <v>105000000</v>
      </c>
      <c r="C74" s="15">
        <f t="shared" si="32"/>
        <v>9370</v>
      </c>
      <c r="D74" s="9">
        <f t="shared" si="33"/>
        <v>23425</v>
      </c>
      <c r="E74" s="9">
        <f t="shared" si="21"/>
        <v>4685</v>
      </c>
    </row>
    <row r="75" spans="1:11" x14ac:dyDescent="0.25">
      <c r="A75" s="15">
        <f t="shared" si="23"/>
        <v>105000001</v>
      </c>
      <c r="B75" s="15">
        <f t="shared" si="31"/>
        <v>110000000</v>
      </c>
      <c r="C75" s="15">
        <f t="shared" si="32"/>
        <v>9628</v>
      </c>
      <c r="D75" s="9">
        <f t="shared" si="33"/>
        <v>24070</v>
      </c>
      <c r="E75" s="9">
        <f t="shared" si="21"/>
        <v>4814</v>
      </c>
    </row>
    <row r="76" spans="1:11" x14ac:dyDescent="0.25">
      <c r="A76" s="15">
        <f t="shared" si="23"/>
        <v>110000001</v>
      </c>
      <c r="B76" s="15">
        <f t="shared" si="31"/>
        <v>115000000</v>
      </c>
      <c r="C76" s="15">
        <f t="shared" si="32"/>
        <v>9886</v>
      </c>
      <c r="D76" s="9">
        <f t="shared" si="33"/>
        <v>24715</v>
      </c>
      <c r="E76" s="9">
        <f t="shared" si="21"/>
        <v>4943</v>
      </c>
    </row>
    <row r="77" spans="1:11" x14ac:dyDescent="0.25">
      <c r="A77" s="15">
        <f t="shared" si="23"/>
        <v>115000001</v>
      </c>
      <c r="B77" s="15">
        <f t="shared" si="31"/>
        <v>120000000</v>
      </c>
      <c r="C77" s="15">
        <f t="shared" si="32"/>
        <v>10144</v>
      </c>
      <c r="D77" s="9">
        <f t="shared" si="33"/>
        <v>25360</v>
      </c>
      <c r="E77" s="9">
        <f t="shared" si="21"/>
        <v>5072</v>
      </c>
    </row>
    <row r="78" spans="1:11" x14ac:dyDescent="0.25">
      <c r="A78" s="15">
        <f t="shared" si="23"/>
        <v>120000001</v>
      </c>
      <c r="B78" s="15">
        <f t="shared" si="31"/>
        <v>125000000</v>
      </c>
      <c r="C78" s="15">
        <f t="shared" si="32"/>
        <v>10402</v>
      </c>
      <c r="D78" s="9">
        <f t="shared" si="33"/>
        <v>26005</v>
      </c>
      <c r="E78" s="9">
        <f t="shared" si="21"/>
        <v>5201</v>
      </c>
    </row>
    <row r="79" spans="1:11" x14ac:dyDescent="0.25">
      <c r="A79" s="15">
        <f t="shared" si="23"/>
        <v>125000001</v>
      </c>
      <c r="B79" s="15">
        <f t="shared" si="31"/>
        <v>130000000</v>
      </c>
      <c r="C79" s="15">
        <f t="shared" si="32"/>
        <v>10660</v>
      </c>
      <c r="D79" s="9">
        <f t="shared" si="33"/>
        <v>26650</v>
      </c>
      <c r="E79" s="9">
        <f t="shared" si="21"/>
        <v>5330</v>
      </c>
    </row>
  </sheetData>
  <mergeCells count="2">
    <mergeCell ref="A1:B1"/>
    <mergeCell ref="G1:H1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a30faddc-af12-4e43-8945-ba936df9d670</BSO999929>
</file>

<file path=customXml/itemProps1.xml><?xml version="1.0" encoding="utf-8"?>
<ds:datastoreItem xmlns:ds="http://schemas.openxmlformats.org/officeDocument/2006/customXml" ds:itemID="{34661521-1F29-4B81-B683-A082F1CDB43F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Rechner Bilanz</vt:lpstr>
      <vt:lpstr>Fibu Staffel Allgemein</vt:lpstr>
      <vt:lpstr>Tabelle A (Steuererklärungen)</vt:lpstr>
      <vt:lpstr>Tabelle B (JA &amp; EÜR)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0005815KOE0000000001</dc:creator>
  <cp:lastModifiedBy>0005815KOE0000000001</cp:lastModifiedBy>
  <dcterms:created xsi:type="dcterms:W3CDTF">2020-09-11T20:33:07Z</dcterms:created>
  <dcterms:modified xsi:type="dcterms:W3CDTF">2024-02-28T21:19:07Z</dcterms:modified>
</cp:coreProperties>
</file>